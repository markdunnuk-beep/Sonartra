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kDunn\Downloads\"/>
    </mc:Choice>
  </mc:AlternateContent>
  <xr:revisionPtr revIDLastSave="0" documentId="13_ncr:1_{FDA4E782-FFB0-4D69-8E8A-AC5FE3FF9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Me" sheetId="1" r:id="rId1"/>
    <sheet name="Questions" sheetId="2" r:id="rId2"/>
    <sheet name="Thresholds" sheetId="3" r:id="rId3"/>
    <sheet name="Archetypes" sheetId="4" r:id="rId4"/>
    <sheet name="Sentence Library" sheetId="5" r:id="rId5"/>
    <sheet name="Rule Engine" sheetId="6" r:id="rId6"/>
    <sheet name="Weights" sheetId="7" r:id="rId7"/>
    <sheet name="Responses" sheetId="8" r:id="rId8"/>
    <sheet name="Results" sheetId="9" r:id="rId9"/>
    <sheet name="Outpu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9" l="1"/>
  <c r="B19" i="9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B16" i="9" s="1"/>
  <c r="J8" i="8"/>
  <c r="I8" i="8"/>
  <c r="H8" i="8"/>
  <c r="G8" i="8"/>
  <c r="F8" i="8"/>
  <c r="E8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AM6" i="8"/>
  <c r="AL6" i="8"/>
  <c r="AK6" i="8"/>
  <c r="AJ6" i="8"/>
  <c r="AI6" i="8"/>
  <c r="AH6" i="8"/>
  <c r="B54" i="9" s="1"/>
  <c r="AG6" i="8"/>
  <c r="AF6" i="8"/>
  <c r="AE6" i="8"/>
  <c r="AD6" i="8"/>
  <c r="AC6" i="8"/>
  <c r="AB6" i="8"/>
  <c r="AA6" i="8"/>
  <c r="Z6" i="8"/>
  <c r="Y6" i="8"/>
  <c r="X6" i="8"/>
  <c r="W6" i="8"/>
  <c r="V6" i="8"/>
  <c r="B33" i="9" s="1"/>
  <c r="U6" i="8"/>
  <c r="B32" i="9" s="1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AM5" i="8"/>
  <c r="AL5" i="8"/>
  <c r="AK5" i="8"/>
  <c r="AJ5" i="8"/>
  <c r="AI5" i="8"/>
  <c r="AH5" i="8"/>
  <c r="AG5" i="8"/>
  <c r="B53" i="9" s="1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B11" i="9" s="1"/>
  <c r="H5" i="8"/>
  <c r="G5" i="8"/>
  <c r="F5" i="8"/>
  <c r="E5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B10" i="9" s="1"/>
  <c r="G4" i="8"/>
  <c r="F4" i="8"/>
  <c r="E4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AM2" i="8"/>
  <c r="B62" i="9" s="1"/>
  <c r="AL2" i="8"/>
  <c r="B61" i="9" s="1"/>
  <c r="AK2" i="8"/>
  <c r="AJ2" i="8"/>
  <c r="B59" i="9" s="1"/>
  <c r="AI2" i="8"/>
  <c r="B55" i="9" s="1"/>
  <c r="AH2" i="8"/>
  <c r="AG2" i="8"/>
  <c r="AF2" i="8"/>
  <c r="B52" i="9" s="1"/>
  <c r="AE2" i="8"/>
  <c r="B48" i="9" s="1"/>
  <c r="AD2" i="8"/>
  <c r="B47" i="9" s="1"/>
  <c r="AC2" i="8"/>
  <c r="B46" i="9" s="1"/>
  <c r="AB2" i="8"/>
  <c r="B45" i="9" s="1"/>
  <c r="AA2" i="8"/>
  <c r="B41" i="9" s="1"/>
  <c r="Z2" i="8"/>
  <c r="B40" i="9" s="1"/>
  <c r="Y2" i="8"/>
  <c r="B39" i="9" s="1"/>
  <c r="X2" i="8"/>
  <c r="B38" i="9" s="1"/>
  <c r="W2" i="8"/>
  <c r="B34" i="9" s="1"/>
  <c r="V2" i="8"/>
  <c r="U2" i="8"/>
  <c r="T2" i="8"/>
  <c r="B31" i="9" s="1"/>
  <c r="S2" i="8"/>
  <c r="B30" i="9" s="1"/>
  <c r="R2" i="8"/>
  <c r="B26" i="9" s="1"/>
  <c r="Q2" i="8"/>
  <c r="B25" i="9" s="1"/>
  <c r="P2" i="8"/>
  <c r="B24" i="9" s="1"/>
  <c r="O2" i="8"/>
  <c r="B23" i="9" s="1"/>
  <c r="N2" i="8"/>
  <c r="M2" i="8"/>
  <c r="B18" i="9" s="1"/>
  <c r="L2" i="8"/>
  <c r="B17" i="9" s="1"/>
  <c r="K2" i="8"/>
  <c r="J2" i="8"/>
  <c r="B12" i="9" s="1"/>
  <c r="I2" i="8"/>
  <c r="H2" i="8"/>
  <c r="G2" i="8"/>
  <c r="B9" i="9" s="1"/>
  <c r="F2" i="8"/>
  <c r="E2" i="8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3" i="4"/>
  <c r="E12" i="4"/>
  <c r="E11" i="4"/>
  <c r="E10" i="4"/>
  <c r="E9" i="4"/>
  <c r="E8" i="4"/>
  <c r="E7" i="4"/>
  <c r="E6" i="4"/>
  <c r="E5" i="4"/>
  <c r="E4" i="4"/>
  <c r="E3" i="4"/>
  <c r="E2" i="4"/>
  <c r="C48" i="9" l="1"/>
  <c r="D48" i="9" s="1"/>
  <c r="C47" i="9"/>
  <c r="D47" i="9" s="1"/>
  <c r="C46" i="9"/>
  <c r="D46" i="9" s="1"/>
  <c r="G14" i="9"/>
  <c r="C45" i="9"/>
  <c r="D45" i="9" s="1"/>
  <c r="B7" i="10" s="1"/>
  <c r="C17" i="9"/>
  <c r="D17" i="9" s="1"/>
  <c r="C19" i="9"/>
  <c r="D19" i="9" s="1"/>
  <c r="G11" i="9"/>
  <c r="C18" i="9"/>
  <c r="D18" i="9" s="1"/>
  <c r="C16" i="9"/>
  <c r="D16" i="9" s="1"/>
  <c r="B4" i="10" s="1"/>
  <c r="C23" i="9"/>
  <c r="C26" i="9"/>
  <c r="D26" i="9" s="1"/>
  <c r="C25" i="9"/>
  <c r="D25" i="9" s="1"/>
  <c r="C24" i="9"/>
  <c r="D24" i="9" s="1"/>
  <c r="G12" i="9"/>
  <c r="C41" i="9"/>
  <c r="D41" i="9" s="1"/>
  <c r="C40" i="9"/>
  <c r="D40" i="9" s="1"/>
  <c r="C39" i="9"/>
  <c r="D39" i="9" s="1"/>
  <c r="G15" i="9"/>
  <c r="C38" i="9"/>
  <c r="C62" i="9"/>
  <c r="D62" i="9" s="1"/>
  <c r="C61" i="9"/>
  <c r="D61" i="9" s="1"/>
  <c r="C60" i="9"/>
  <c r="D60" i="9" s="1"/>
  <c r="C59" i="9"/>
  <c r="D59" i="9" s="1"/>
  <c r="G17" i="9"/>
  <c r="B10" i="10" s="1"/>
  <c r="G8" i="9"/>
  <c r="C11" i="9"/>
  <c r="D11" i="9" s="1"/>
  <c r="C10" i="9"/>
  <c r="D10" i="9" s="1"/>
  <c r="G9" i="9"/>
  <c r="C12" i="9"/>
  <c r="D12" i="9" s="1"/>
  <c r="C9" i="9"/>
  <c r="D9" i="9" s="1"/>
  <c r="C55" i="9"/>
  <c r="D55" i="9" s="1"/>
  <c r="G16" i="9"/>
  <c r="B9" i="10" s="1"/>
  <c r="C54" i="9"/>
  <c r="D54" i="9" s="1"/>
  <c r="C53" i="9"/>
  <c r="D53" i="9" s="1"/>
  <c r="C52" i="9"/>
  <c r="D52" i="9" s="1"/>
  <c r="C34" i="9"/>
  <c r="D34" i="9" s="1"/>
  <c r="C30" i="9"/>
  <c r="D30" i="9" s="1"/>
  <c r="C33" i="9"/>
  <c r="D33" i="9" s="1"/>
  <c r="C32" i="9"/>
  <c r="D32" i="9" s="1"/>
  <c r="G13" i="9"/>
  <c r="C31" i="9"/>
  <c r="D31" i="9" s="1"/>
  <c r="B6" i="10" l="1"/>
  <c r="G18" i="9"/>
  <c r="B11" i="10" s="1"/>
  <c r="D23" i="9"/>
  <c r="B5" i="10" s="1"/>
  <c r="G19" i="9"/>
  <c r="B12" i="10" s="1"/>
  <c r="D38" i="9"/>
  <c r="B8" i="10" s="1"/>
  <c r="G10" i="9"/>
  <c r="B2" i="10" s="1"/>
  <c r="B3" i="10" s="1"/>
</calcChain>
</file>

<file path=xl/sharedStrings.xml><?xml version="1.0" encoding="utf-8"?>
<sst xmlns="http://schemas.openxmlformats.org/spreadsheetml/2006/main" count="2040" uniqueCount="932">
  <si>
    <t>Sonartra Signals WPLP-80 Full Report Model</t>
  </si>
  <si>
    <t>Purpose</t>
  </si>
  <si>
    <t>Manual validation workbook covering all 80 questions, scoring weights, thresholds, archetypes, and generated language outputs.</t>
  </si>
  <si>
    <t>How to use</t>
  </si>
  <si>
    <t>1) Review Questions and Weights. 2) Enter A/B/C/D responses on Responses. 3) Review Results and Output. 4) Adjust weights, thresholds, or sentence logic as needed.</t>
  </si>
  <si>
    <t>Naming convention</t>
  </si>
  <si>
    <t>Operator replaces Stabiliser throughout the workbook for clearer business language.</t>
  </si>
  <si>
    <t>Source note</t>
  </si>
  <si>
    <t>Weightings are based on the existing Sonartra scoring model workbook and expanded here with Decision &amp; Risk and Role Fit structures.</t>
  </si>
  <si>
    <t>Q#</t>
  </si>
  <si>
    <t>Section</t>
  </si>
  <si>
    <t>Question</t>
  </si>
  <si>
    <t>A Option</t>
  </si>
  <si>
    <t>B Option</t>
  </si>
  <si>
    <t>C Option</t>
  </si>
  <si>
    <t>D Option</t>
  </si>
  <si>
    <t>Core Personality</t>
  </si>
  <si>
    <t>When beginning a new initiative, I usually:</t>
  </si>
  <si>
    <t>Start immediately and refine as I go</t>
  </si>
  <si>
    <t>Map out the plan in detail first</t>
  </si>
  <si>
    <t>Speak to key stakeholders before acting</t>
  </si>
  <si>
    <t>Wait for clarity and direction</t>
  </si>
  <si>
    <t>My natural energy level at work is:</t>
  </si>
  <si>
    <t>High and intense</t>
  </si>
  <si>
    <t>Consistent and steady</t>
  </si>
  <si>
    <t>Calm and reflective</t>
  </si>
  <si>
    <t>Variable depending on environment</t>
  </si>
  <si>
    <t>When priorities change suddenly:</t>
  </si>
  <si>
    <t>Adapt quickly</t>
  </si>
  <si>
    <t>Reassess methodically</t>
  </si>
  <si>
    <t>Check impact on others</t>
  </si>
  <si>
    <t>Feel unsettled</t>
  </si>
  <si>
    <t>I prefer tasks that are:</t>
  </si>
  <si>
    <t>Challenging and visible</t>
  </si>
  <si>
    <t>Structured and defined</t>
  </si>
  <si>
    <t>Collaborative</t>
  </si>
  <si>
    <t>Technical or analytical</t>
  </si>
  <si>
    <t>In uncertain situations I:</t>
  </si>
  <si>
    <t>Move forward confidently</t>
  </si>
  <si>
    <t>Gather more data</t>
  </si>
  <si>
    <t>Seek reassurance</t>
  </si>
  <si>
    <t>Maintain stability</t>
  </si>
  <si>
    <t>My attention to detail is:</t>
  </si>
  <si>
    <t>Secondary to momentum</t>
  </si>
  <si>
    <t>Balanced</t>
  </si>
  <si>
    <t>Very high</t>
  </si>
  <si>
    <t>Delegated where possible</t>
  </si>
  <si>
    <t>Feedback typically:</t>
  </si>
  <si>
    <t>Motivates me</t>
  </si>
  <si>
    <t>Helps refine performance</t>
  </si>
  <si>
    <t>Feels personal</t>
  </si>
  <si>
    <t>Must be logical to matter</t>
  </si>
  <si>
    <t>My decision-making style is:</t>
  </si>
  <si>
    <t>Fast</t>
  </si>
  <si>
    <t>Cautious</t>
  </si>
  <si>
    <t>Data-driven</t>
  </si>
  <si>
    <t>Behaviour Style</t>
  </si>
  <si>
    <t>In meetings I tend to:</t>
  </si>
  <si>
    <t>Direct the discussion</t>
  </si>
  <si>
    <t>Generate ideas</t>
  </si>
  <si>
    <t>Support others</t>
  </si>
  <si>
    <t>Question assumptions</t>
  </si>
  <si>
    <t>My communication is:</t>
  </si>
  <si>
    <t>Direct and concise</t>
  </si>
  <si>
    <t>Persuasive and expressive</t>
  </si>
  <si>
    <t>Patient and empathetic</t>
  </si>
  <si>
    <t>Precise and factual</t>
  </si>
  <si>
    <t>When leading a project I:</t>
  </si>
  <si>
    <t>Set aggressive goals</t>
  </si>
  <si>
    <t>Inspire enthusiasm</t>
  </si>
  <si>
    <t>Ensure everyone feels included</t>
  </si>
  <si>
    <t>Focus on systems and accuracy</t>
  </si>
  <si>
    <t>Under time pressure I:</t>
  </si>
  <si>
    <t>Push harder</t>
  </si>
  <si>
    <t>Motivate the team</t>
  </si>
  <si>
    <t>Protect morale</t>
  </si>
  <si>
    <t>Double-check details</t>
  </si>
  <si>
    <t>I am most comfortable when:</t>
  </si>
  <si>
    <t>In control</t>
  </si>
  <si>
    <t>Influencing</t>
  </si>
  <si>
    <t>Supporting</t>
  </si>
  <si>
    <t>Analysing</t>
  </si>
  <si>
    <t>Others likely see me as:</t>
  </si>
  <si>
    <t>Decisive</t>
  </si>
  <si>
    <t>Charismatic</t>
  </si>
  <si>
    <t>Reliable</t>
  </si>
  <si>
    <t>Thoughtful</t>
  </si>
  <si>
    <t>I am frustrated by:</t>
  </si>
  <si>
    <t>Slow decision-making</t>
  </si>
  <si>
    <t>Lack of enthusiasm</t>
  </si>
  <si>
    <t>Harsh conflict</t>
  </si>
  <si>
    <t>Poor logic</t>
  </si>
  <si>
    <t>Motivational Drivers</t>
  </si>
  <si>
    <t>I am most driven by:</t>
  </si>
  <si>
    <t>Achievement</t>
  </si>
  <si>
    <t>Influence</t>
  </si>
  <si>
    <t>Stability</t>
  </si>
  <si>
    <t>Mastery</t>
  </si>
  <si>
    <t>Recognition matters to me because:</t>
  </si>
  <si>
    <t>It reflects success</t>
  </si>
  <si>
    <t>It builds visibility</t>
  </si>
  <si>
    <t>It strengthens relationships</t>
  </si>
  <si>
    <t>It validates expertise</t>
  </si>
  <si>
    <t>I would prefer:</t>
  </si>
  <si>
    <t>Stretch targets</t>
  </si>
  <si>
    <t>Bigger network</t>
  </si>
  <si>
    <t>Job security</t>
  </si>
  <si>
    <t>Skill depth</t>
  </si>
  <si>
    <t>If given total freedom, I would:</t>
  </si>
  <si>
    <t>Compete</t>
  </si>
  <si>
    <t>Build</t>
  </si>
  <si>
    <t>Protect</t>
  </si>
  <si>
    <t>Optimise</t>
  </si>
  <si>
    <t>I measure success by:</t>
  </si>
  <si>
    <t>Results</t>
  </si>
  <si>
    <t>Impact</t>
  </si>
  <si>
    <t>Harmony</t>
  </si>
  <si>
    <t>Quality</t>
  </si>
  <si>
    <t>I am energised when:</t>
  </si>
  <si>
    <t>Winning</t>
  </si>
  <si>
    <t>Inspiring</t>
  </si>
  <si>
    <t>Solving</t>
  </si>
  <si>
    <t>I disengage when:</t>
  </si>
  <si>
    <t>Goals are weak</t>
  </si>
  <si>
    <t>Voice is ignored</t>
  </si>
  <si>
    <t>Conflict escalates</t>
  </si>
  <si>
    <t>Standards slip</t>
  </si>
  <si>
    <t>Interpersonal Needs</t>
  </si>
  <si>
    <t>I prefer leaders who:</t>
  </si>
  <si>
    <t>Take charge</t>
  </si>
  <si>
    <t>Set vision</t>
  </si>
  <si>
    <t>Develop people</t>
  </si>
  <si>
    <t>Provide clarity</t>
  </si>
  <si>
    <t>I feel valued when:</t>
  </si>
  <si>
    <t>Trusted with responsibility</t>
  </si>
  <si>
    <t>Consulted</t>
  </si>
  <si>
    <t>Included</t>
  </si>
  <si>
    <t>Recognised for expertise</t>
  </si>
  <si>
    <t>In teams I typically:</t>
  </si>
  <si>
    <t>Lead</t>
  </si>
  <si>
    <t>Connect</t>
  </si>
  <si>
    <t>Stabilise</t>
  </si>
  <si>
    <t>Specialise</t>
  </si>
  <si>
    <t>I prefer working:</t>
  </si>
  <si>
    <t>Independently</t>
  </si>
  <si>
    <t>Collaboratively</t>
  </si>
  <si>
    <t>In predictable teams</t>
  </si>
  <si>
    <t>With intellectual challenge</t>
  </si>
  <si>
    <t>When excluded from decisions I:</t>
  </si>
  <si>
    <t>Challenge</t>
  </si>
  <si>
    <t>Re-engage</t>
  </si>
  <si>
    <t>Withdraw</t>
  </si>
  <si>
    <t>Analyse</t>
  </si>
  <si>
    <t>I seek:</t>
  </si>
  <si>
    <t>Authority</t>
  </si>
  <si>
    <t>Belonging</t>
  </si>
  <si>
    <t>Competence</t>
  </si>
  <si>
    <t>Conflict Style</t>
  </si>
  <si>
    <t>In disagreement I:</t>
  </si>
  <si>
    <t>Persuade</t>
  </si>
  <si>
    <t>Compromise</t>
  </si>
  <si>
    <t>When challenged publicly:</t>
  </si>
  <si>
    <t>Stand firm</t>
  </si>
  <si>
    <t>Respond emotionally</t>
  </si>
  <si>
    <t>De-escalate</t>
  </si>
  <si>
    <t>Clarify facts</t>
  </si>
  <si>
    <t>If a colleague underperforms:</t>
  </si>
  <si>
    <t>Address directly</t>
  </si>
  <si>
    <t>Encourage</t>
  </si>
  <si>
    <t>Support quietly</t>
  </si>
  <si>
    <t>Review process</t>
  </si>
  <si>
    <t>I avoid conflict when:</t>
  </si>
  <si>
    <t>Stakes are low</t>
  </si>
  <si>
    <t>Relationships matter</t>
  </si>
  <si>
    <t>It feels aggressive</t>
  </si>
  <si>
    <t>It lacks logic</t>
  </si>
  <si>
    <t>My conflict strength is:</t>
  </si>
  <si>
    <t>Courage</t>
  </si>
  <si>
    <t>Empathy</t>
  </si>
  <si>
    <t>Objectivity</t>
  </si>
  <si>
    <t>My conflict risk is:</t>
  </si>
  <si>
    <t>Over-dominance</t>
  </si>
  <si>
    <t>Over-talking</t>
  </si>
  <si>
    <t>Avoidance</t>
  </si>
  <si>
    <t>Over-analysis</t>
  </si>
  <si>
    <t>Stress &amp; Derailers</t>
  </si>
  <si>
    <t>Under prolonged pressure I may:</t>
  </si>
  <si>
    <t>Become controlling</t>
  </si>
  <si>
    <t>Become scattered</t>
  </si>
  <si>
    <t>Avoid difficult conversations</t>
  </si>
  <si>
    <t>Become overly critical</t>
  </si>
  <si>
    <t>When overwhelmed I:</t>
  </si>
  <si>
    <t>Take over</t>
  </si>
  <si>
    <t>Talk more</t>
  </si>
  <si>
    <t>Retreat</t>
  </si>
  <si>
    <t>Analyse obsessively</t>
  </si>
  <si>
    <t>When trust is broken I:</t>
  </si>
  <si>
    <t>React</t>
  </si>
  <si>
    <t>Express frustration</t>
  </si>
  <si>
    <t>Internalise</t>
  </si>
  <si>
    <t>Distance emotionally</t>
  </si>
  <si>
    <t>I can be perceived as:</t>
  </si>
  <si>
    <t>Intimidating</t>
  </si>
  <si>
    <t>Dramatic</t>
  </si>
  <si>
    <t>Passive</t>
  </si>
  <si>
    <t>Detached</t>
  </si>
  <si>
    <t>My biggest blind spot may be:</t>
  </si>
  <si>
    <t>Impatience</t>
  </si>
  <si>
    <t>Over-optimism</t>
  </si>
  <si>
    <t>Perfectionism</t>
  </si>
  <si>
    <t>Under threat I:</t>
  </si>
  <si>
    <t>Fight</t>
  </si>
  <si>
    <t>Defend</t>
  </si>
  <si>
    <t>Freeze</t>
  </si>
  <si>
    <t>Overthink</t>
  </si>
  <si>
    <t>Decision &amp; Risk</t>
  </si>
  <si>
    <t>Risk is:</t>
  </si>
  <si>
    <t>Opportunity</t>
  </si>
  <si>
    <t>Necessary</t>
  </si>
  <si>
    <t>Manageable</t>
  </si>
  <si>
    <t>Dangerous</t>
  </si>
  <si>
    <t>I prefer decisions that are:</t>
  </si>
  <si>
    <t>Consensus-based</t>
  </si>
  <si>
    <t>Safe</t>
  </si>
  <si>
    <t>Evidence-based</t>
  </si>
  <si>
    <t>In high-stakes decisions I:</t>
  </si>
  <si>
    <t>Act</t>
  </si>
  <si>
    <t>Model scenarios</t>
  </si>
  <si>
    <t>I trust:</t>
  </si>
  <si>
    <t>Instinct</t>
  </si>
  <si>
    <t>People</t>
  </si>
  <si>
    <t>Data</t>
  </si>
  <si>
    <t>I am comfortable with:</t>
  </si>
  <si>
    <t>Volatility</t>
  </si>
  <si>
    <t>Change</t>
  </si>
  <si>
    <t>Routine</t>
  </si>
  <si>
    <t>Structure</t>
  </si>
  <si>
    <t>Leadership Orientation</t>
  </si>
  <si>
    <t>A leader’s primary job is to:</t>
  </si>
  <si>
    <t>Deliver results</t>
  </si>
  <si>
    <t>Inspire</t>
  </si>
  <si>
    <t>Develop</t>
  </si>
  <si>
    <t>Design systems</t>
  </si>
  <si>
    <t>Poor performance should be handled by:</t>
  </si>
  <si>
    <t>Raising standards</t>
  </si>
  <si>
    <t>Motivating</t>
  </si>
  <si>
    <t>Coaching</t>
  </si>
  <si>
    <t>Redesigning process</t>
  </si>
  <si>
    <t>I lead best by:</t>
  </si>
  <si>
    <t>Direction</t>
  </si>
  <si>
    <t>Energy</t>
  </si>
  <si>
    <t>Support</t>
  </si>
  <si>
    <t>Expertise</t>
  </si>
  <si>
    <t>Authority should:</t>
  </si>
  <si>
    <t>Be asserted</t>
  </si>
  <si>
    <t>Be earned</t>
  </si>
  <si>
    <t>Be shared</t>
  </si>
  <si>
    <t>Be structured</t>
  </si>
  <si>
    <t>I am most confident leading:</t>
  </si>
  <si>
    <t>In crisis</t>
  </si>
  <si>
    <t>In growth</t>
  </si>
  <si>
    <t>In stability</t>
  </si>
  <si>
    <t>In complexity</t>
  </si>
  <si>
    <t>Culture Preference</t>
  </si>
  <si>
    <t>Ideal culture is:</t>
  </si>
  <si>
    <t>Competitive</t>
  </si>
  <si>
    <t>Innovative</t>
  </si>
  <si>
    <t>Structured</t>
  </si>
  <si>
    <t>Success should be measured by:</t>
  </si>
  <si>
    <t>Profit</t>
  </si>
  <si>
    <t>Growth</t>
  </si>
  <si>
    <t>Engagement</t>
  </si>
  <si>
    <t>Efficiency</t>
  </si>
  <si>
    <t>Culture should prioritise:</t>
  </si>
  <si>
    <t>Performance</t>
  </si>
  <si>
    <t>Creativity</t>
  </si>
  <si>
    <t>Consistency</t>
  </si>
  <si>
    <t>Accountability should be:</t>
  </si>
  <si>
    <t>High and visible</t>
  </si>
  <si>
    <t>Fair</t>
  </si>
  <si>
    <t>Measured</t>
  </si>
  <si>
    <t>I struggle in cultures that are:</t>
  </si>
  <si>
    <t>Slow</t>
  </si>
  <si>
    <t>Conservative</t>
  </si>
  <si>
    <t>Harsh</t>
  </si>
  <si>
    <t>Chaotic</t>
  </si>
  <si>
    <t>Role Fit</t>
  </si>
  <si>
    <t>I am best suited to:</t>
  </si>
  <si>
    <t>Commercial leadership</t>
  </si>
  <si>
    <t>Business development</t>
  </si>
  <si>
    <t>Operations management</t>
  </si>
  <si>
    <t>Technical specialist</t>
  </si>
  <si>
    <t>My natural strength lies in:</t>
  </si>
  <si>
    <t>Driving change</t>
  </si>
  <si>
    <t>Maintaining</t>
  </si>
  <si>
    <t>I thrive where:</t>
  </si>
  <si>
    <t>Targets are aggressive</t>
  </si>
  <si>
    <t>Relationships are key</t>
  </si>
  <si>
    <t>Stability exists</t>
  </si>
  <si>
    <t>Systems matter</t>
  </si>
  <si>
    <t>My greatest value to a company is:</t>
  </si>
  <si>
    <t>Momentum</t>
  </si>
  <si>
    <t>Reliability</t>
  </si>
  <si>
    <t>Precision</t>
  </si>
  <si>
    <t>Behavioural Integrity &amp; Nuance</t>
  </si>
  <si>
    <t>When progress stalls on an important initiative I typically:</t>
  </si>
  <si>
    <t>Push harder and accelerate decisions</t>
  </si>
  <si>
    <t>Rally people and re-energise the group</t>
  </si>
  <si>
    <t>Maintain stability and reduce disruption</t>
  </si>
  <si>
    <t>Re-evaluate the system or assumptions</t>
  </si>
  <si>
    <t>If a colleague challenges my idea strongly I:</t>
  </si>
  <si>
    <t>Defend my position immediately</t>
  </si>
  <si>
    <t>Reframe the discussion to win support</t>
  </si>
  <si>
    <t>De-escalate and keep harmony</t>
  </si>
  <si>
    <t>Examine their reasoning carefully</t>
  </si>
  <si>
    <t>In high-performing teams I value most:</t>
  </si>
  <si>
    <t>Momentum and execution</t>
  </si>
  <si>
    <t>Inspiration and energy</t>
  </si>
  <si>
    <t>Trust and cohesion</t>
  </si>
  <si>
    <t>Precision and expertise</t>
  </si>
  <si>
    <t>If a project begins to drift I prefer to:</t>
  </si>
  <si>
    <t>Take direct control of the situation</t>
  </si>
  <si>
    <t>Influence the team informally</t>
  </si>
  <si>
    <t>Encourage collaboration</t>
  </si>
  <si>
    <t>Improve the process or structure</t>
  </si>
  <si>
    <t>When evaluating a risky opportunity I focus primarily on:</t>
  </si>
  <si>
    <t>Potential upside</t>
  </si>
  <si>
    <t>Strategic narrative</t>
  </si>
  <si>
    <t>Impact on people</t>
  </si>
  <si>
    <t>Evidence and probability</t>
  </si>
  <si>
    <t>If a team member disagrees with me privately I am most likely to:</t>
  </si>
  <si>
    <t>Expect alignment with my decision</t>
  </si>
  <si>
    <t>Try to win them over</t>
  </si>
  <si>
    <t>Explore their concerns</t>
  </si>
  <si>
    <t>Analyse the logic together</t>
  </si>
  <si>
    <t>When organisations grow quickly they most often fail because:</t>
  </si>
  <si>
    <t>Leadership loses control</t>
  </si>
  <si>
    <t>Vision becomes diluted</t>
  </si>
  <si>
    <t>Culture becomes fragmented</t>
  </si>
  <si>
    <t>Systems fail to scale</t>
  </si>
  <si>
    <t>In emotionally charged environments I:</t>
  </si>
  <si>
    <t>Become more forceful</t>
  </si>
  <si>
    <t>Become more expressive</t>
  </si>
  <si>
    <t>Try to calm the situation</t>
  </si>
  <si>
    <t>Become more analytical</t>
  </si>
  <si>
    <t>In difficult conversations I prioritise:</t>
  </si>
  <si>
    <t>Directness</t>
  </si>
  <si>
    <t>Sensitivity</t>
  </si>
  <si>
    <t>Accuracy</t>
  </si>
  <si>
    <t>When a decision proves wrong I:</t>
  </si>
  <si>
    <t>Correct course quickly</t>
  </si>
  <si>
    <t>Re-inspire commitment</t>
  </si>
  <si>
    <t>Maintain morale</t>
  </si>
  <si>
    <t>Investigate root causes</t>
  </si>
  <si>
    <t>When joining a new organisation I first try to understand:</t>
  </si>
  <si>
    <t>Power and decision authority</t>
  </si>
  <si>
    <t>Informal influence networks</t>
  </si>
  <si>
    <t>Social dynamics and trust</t>
  </si>
  <si>
    <t>Systems and processes</t>
  </si>
  <si>
    <t>My leadership impact is strongest when I:</t>
  </si>
  <si>
    <t>Drive performance</t>
  </si>
  <si>
    <t>Inspire confidence</t>
  </si>
  <si>
    <t>Build stability</t>
  </si>
  <si>
    <t>Provide expertise</t>
  </si>
  <si>
    <t>When faced with conflicting priorities I typically:</t>
  </si>
  <si>
    <t>Choose the fastest path forward</t>
  </si>
  <si>
    <t>Align stakeholders first</t>
  </si>
  <si>
    <t>Seek consensus</t>
  </si>
  <si>
    <t>Analyse implications</t>
  </si>
  <si>
    <t>Uncertainty in organisations usually signals:</t>
  </si>
  <si>
    <t>Instability</t>
  </si>
  <si>
    <t>Complexity</t>
  </si>
  <si>
    <t>The most damaging leadership behaviour is:</t>
  </si>
  <si>
    <t>Indecision</t>
  </si>
  <si>
    <t>Ego-driven leadership</t>
  </si>
  <si>
    <t>Disconnection from people</t>
  </si>
  <si>
    <t>Poor judgement</t>
  </si>
  <si>
    <t>When results matter most I:</t>
  </si>
  <si>
    <t>Increase pressure</t>
  </si>
  <si>
    <t>Increase communication</t>
  </si>
  <si>
    <t>Increase support</t>
  </si>
  <si>
    <t>Increase analysis</t>
  </si>
  <si>
    <t>The best leaders create organisations that are:</t>
  </si>
  <si>
    <t>Inspired</t>
  </si>
  <si>
    <t>Cohesive</t>
  </si>
  <si>
    <t>Systematically effective</t>
  </si>
  <si>
    <t>If data contradicts my intuition I usually:</t>
  </si>
  <si>
    <t>Trust instinct</t>
  </si>
  <si>
    <t>Seek additional perspectives</t>
  </si>
  <si>
    <t>Reflect carefully</t>
  </si>
  <si>
    <t>Follow the evidence</t>
  </si>
  <si>
    <t>In organisational change my instinct is to:</t>
  </si>
  <si>
    <t>Drive transformation quickly</t>
  </si>
  <si>
    <t>Communicate the vision</t>
  </si>
  <si>
    <t>Protect stability</t>
  </si>
  <si>
    <t>Design the transition carefully</t>
  </si>
  <si>
    <t>I perform best in organisations that reward:</t>
  </si>
  <si>
    <t>Visibility</t>
  </si>
  <si>
    <t>Loyalty</t>
  </si>
  <si>
    <t>When evaluating people’s performance I value most:</t>
  </si>
  <si>
    <t>Results delivered</t>
  </si>
  <si>
    <t>Influence created</t>
  </si>
  <si>
    <t>Relationships maintained</t>
  </si>
  <si>
    <t>Quality of thinking</t>
  </si>
  <si>
    <t>Measure</t>
  </si>
  <si>
    <t>Low Max</t>
  </si>
  <si>
    <t>Medium Max</t>
  </si>
  <si>
    <t>High Max</t>
  </si>
  <si>
    <t>Notes</t>
  </si>
  <si>
    <t>Normalised Score</t>
  </si>
  <si>
    <t>Used for Low / Medium / High banding.</t>
  </si>
  <si>
    <t>Narrative Strong</t>
  </si>
  <si>
    <t>Use strong sentence if score/share &gt;= this threshold.</t>
  </si>
  <si>
    <t>Narrative Moderate</t>
  </si>
  <si>
    <t>Use moderate sentence if score/share &gt;= this threshold and &lt; strong.</t>
  </si>
  <si>
    <t>Leadership Potential Strong</t>
  </si>
  <si>
    <t>Composite threshold.</t>
  </si>
  <si>
    <t>Role Alignment Strong</t>
  </si>
  <si>
    <t>Primary</t>
  </si>
  <si>
    <t>Secondary</t>
  </si>
  <si>
    <t>Archetype</t>
  </si>
  <si>
    <t>Identity Sentence</t>
  </si>
  <si>
    <t>Key</t>
  </si>
  <si>
    <t>Driver</t>
  </si>
  <si>
    <t>Analyst</t>
  </si>
  <si>
    <t>Strategic Operator</t>
  </si>
  <si>
    <t>You are a decisive and structured operator who takes control quickly while grounding decisions in logic and analysis.</t>
  </si>
  <si>
    <t>Influencer</t>
  </si>
  <si>
    <t>Growth Leader</t>
  </si>
  <si>
    <t>You are an energetic, persuasive leader who creates momentum through confidence, visibility, and forward drive.</t>
  </si>
  <si>
    <t>Operator</t>
  </si>
  <si>
    <t>Execution Leader</t>
  </si>
  <si>
    <t>You are a controlled, delivery-focused leader who drives results while protecting consistency and operational reliability.</t>
  </si>
  <si>
    <t>Persuasive Driver</t>
  </si>
  <si>
    <t>You are a charismatic, fast-moving achiever who influences others to build momentum and deliver outcomes.</t>
  </si>
  <si>
    <t>Culture Builder</t>
  </si>
  <si>
    <t>You are a relationship-focused connector who strengthens trust, morale, and cohesion across teams.</t>
  </si>
  <si>
    <t>Communicating Strategist</t>
  </si>
  <si>
    <t>You are an articulate and thoughtful communicator who translates complexity into insight and direction.</t>
  </si>
  <si>
    <t>Systems Commander</t>
  </si>
  <si>
    <t>You are a logical and performance-focused builder of systems, standards, and disciplined execution.</t>
  </si>
  <si>
    <t>Systems Architect</t>
  </si>
  <si>
    <t>You are a dependable, detail-focused architect of stable systems, reliable processes, and measured execution.</t>
  </si>
  <si>
    <t>Operational Leader</t>
  </si>
  <si>
    <t>You are a dependable execution-focused leader who brings order, continuity, and disciplined follow-through to delivery.</t>
  </si>
  <si>
    <t>People Operator</t>
  </si>
  <si>
    <t>You are a supportive, steady connector who keeps teams aligned, calm, and practically engaged.</t>
  </si>
  <si>
    <t>Reliability Architect</t>
  </si>
  <si>
    <t>You are a consistent, process-minded operator who protects quality, stability, and operational integrity.</t>
  </si>
  <si>
    <t>Insight Translator</t>
  </si>
  <si>
    <t>You combine analysis with communication, helping others understand patterns, risks, and opportunities clearly.</t>
  </si>
  <si>
    <t>Category</t>
  </si>
  <si>
    <t>Signal</t>
  </si>
  <si>
    <t>Band</t>
  </si>
  <si>
    <t>Sentence</t>
  </si>
  <si>
    <t>Core Identity</t>
  </si>
  <si>
    <t>High</t>
  </si>
  <si>
    <t>You naturally take control and focus on outcomes.</t>
  </si>
  <si>
    <t>You bring energy, engagement, and visibility into group environments.</t>
  </si>
  <si>
    <t>You focus on consistent execution, reliability, and maintaining operational stability.</t>
  </si>
  <si>
    <t>You rely on logic, structure, and evidence when making decisions.</t>
  </si>
  <si>
    <t>How You Operate</t>
  </si>
  <si>
    <t>You are driven by measurable success and clear outcomes.</t>
  </si>
  <si>
    <t>You are motivated by visibility, reach, and the ability to shape others thinking.</t>
  </si>
  <si>
    <t>You are motivated by security, continuity, and low-friction execution.</t>
  </si>
  <si>
    <t>You are motivated by expertise, precision, and continual improvement.</t>
  </si>
  <si>
    <t>Leadership</t>
  </si>
  <si>
    <t>You lead with a strong bias toward delivery, standards, and performance.</t>
  </si>
  <si>
    <t>Vision</t>
  </si>
  <si>
    <t>You lead by creating belief, momentum, and future direction.</t>
  </si>
  <si>
    <t>You lead by building trust, support, and team development.</t>
  </si>
  <si>
    <t>Process</t>
  </si>
  <si>
    <t>You lead through clarity, structure, and system design.</t>
  </si>
  <si>
    <t>Conflict</t>
  </si>
  <si>
    <t>In conflict, you are likely to take a firm position and push for resolution.</t>
  </si>
  <si>
    <t>Collaborate</t>
  </si>
  <si>
    <t>In conflict, you are inclined to seek alignment and shared movement.</t>
  </si>
  <si>
    <t>In conflict, you tend to look for balanced, workable middle ground.</t>
  </si>
  <si>
    <t>Accommodate</t>
  </si>
  <si>
    <t>In conflict, you may prioritise harmony and relationship preservation.</t>
  </si>
  <si>
    <t>Avoid</t>
  </si>
  <si>
    <t>In conflict, you may step back until there is more clarity or lower emotional intensity.</t>
  </si>
  <si>
    <t>Pressure</t>
  </si>
  <si>
    <t>Control</t>
  </si>
  <si>
    <t>Under pressure, you may become more controlling and less tolerant of delay.</t>
  </si>
  <si>
    <t>Scatter</t>
  </si>
  <si>
    <t>Under pressure, you may lose focus and become more reactive or diffuse.</t>
  </si>
  <si>
    <t>Under pressure, you may retreat from difficult conversations or unresolved tension.</t>
  </si>
  <si>
    <t>Criticality</t>
  </si>
  <si>
    <t>Under pressure, you may become more critical, exacting, or perfection-focused.</t>
  </si>
  <si>
    <t>Culture</t>
  </si>
  <si>
    <t>Market</t>
  </si>
  <si>
    <t>You are likely to thrive in high-accountability, performance-driven cultures.</t>
  </si>
  <si>
    <t>Adhocracy</t>
  </si>
  <si>
    <t>You are likely to thrive in innovative, change-oriented cultures.</t>
  </si>
  <si>
    <t>Clan</t>
  </si>
  <si>
    <t>You are likely to thrive in collaborative, trust-based cultures.</t>
  </si>
  <si>
    <t>Hierarchy</t>
  </si>
  <si>
    <t>You are likely to thrive in structured, process-driven cultures.</t>
  </si>
  <si>
    <t>Rule Type</t>
  </si>
  <si>
    <t>Condition</t>
  </si>
  <si>
    <t>Output</t>
  </si>
  <si>
    <t>Tension</t>
  </si>
  <si>
    <t>Driver high &amp; Operator high</t>
  </si>
  <si>
    <t>You balance a desire for control with a need for stability, which can create friction in fast-changing environments.</t>
  </si>
  <si>
    <t>Influencer high &amp; Analyst high</t>
  </si>
  <si>
    <t>You combine communication and structured thinking, though you may shift between intuition and logic depending on context.</t>
  </si>
  <si>
    <t>Risk Modifier</t>
  </si>
  <si>
    <t>Driver high &amp; Stress Control high</t>
  </si>
  <si>
    <t>Under strain, your drive for results can become over-control.</t>
  </si>
  <si>
    <t>Analyst high &amp; Stress Criticality high</t>
  </si>
  <si>
    <t>Under strain, your standards can harden into excessive criticism or over-analysis.</t>
  </si>
  <si>
    <t>Operator high &amp; Stress Avoidance high</t>
  </si>
  <si>
    <t>Under strain, your preference for stability can become withdrawal from difficult issues.</t>
  </si>
  <si>
    <t>Influencer high &amp; Stress Scatter high</t>
  </si>
  <si>
    <t>Under strain, your energy can become diffuse and less focused.</t>
  </si>
  <si>
    <t>Answer</t>
  </si>
  <si>
    <t>Question Text</t>
  </si>
  <si>
    <t>Reverse_Flag</t>
  </si>
  <si>
    <t>Style_Driver</t>
  </si>
  <si>
    <t>Style_Influencer</t>
  </si>
  <si>
    <t>Style_Operator</t>
  </si>
  <si>
    <t>Style_Analyst</t>
  </si>
  <si>
    <t>Mot_Achievement</t>
  </si>
  <si>
    <t>Mot_Influence</t>
  </si>
  <si>
    <t>Mot_Stability</t>
  </si>
  <si>
    <t>Mot_Mastery</t>
  </si>
  <si>
    <t>Lead_Results</t>
  </si>
  <si>
    <t>Lead_Vision</t>
  </si>
  <si>
    <t>Lead_People</t>
  </si>
  <si>
    <t>Lead_Process</t>
  </si>
  <si>
    <t>Conflict_Compete</t>
  </si>
  <si>
    <t>Conflict_Collaborate</t>
  </si>
  <si>
    <t>Conflict_Compromise</t>
  </si>
  <si>
    <t>Conflict_Accommodate</t>
  </si>
  <si>
    <t>Conflict_Avoid</t>
  </si>
  <si>
    <t>Culture_Market</t>
  </si>
  <si>
    <t>Culture_Adhocracy</t>
  </si>
  <si>
    <t>Culture_Clan</t>
  </si>
  <si>
    <t>Culture_Hierarchy</t>
  </si>
  <si>
    <t>Stress_Control</t>
  </si>
  <si>
    <t>Stress_Scatter</t>
  </si>
  <si>
    <t>Stress_Avoidance</t>
  </si>
  <si>
    <t>Stress_Criticality</t>
  </si>
  <si>
    <t>Decision_Agility</t>
  </si>
  <si>
    <t>Decision_Consensus</t>
  </si>
  <si>
    <t>Decision_Stability</t>
  </si>
  <si>
    <t>Decision_Evidence</t>
  </si>
  <si>
    <t>Role_Commercial Leadership</t>
  </si>
  <si>
    <t>Role_Business Development</t>
  </si>
  <si>
    <t>Role_Operations Management</t>
  </si>
  <si>
    <t>Role_Technical Specialist</t>
  </si>
  <si>
    <t>A</t>
  </si>
  <si>
    <t>1|A</t>
  </si>
  <si>
    <t>B</t>
  </si>
  <si>
    <t>1|B</t>
  </si>
  <si>
    <t>C</t>
  </si>
  <si>
    <t>1|C</t>
  </si>
  <si>
    <t>D</t>
  </si>
  <si>
    <t>1|D</t>
  </si>
  <si>
    <t>2|A</t>
  </si>
  <si>
    <t>2|B</t>
  </si>
  <si>
    <t>2|C</t>
  </si>
  <si>
    <t>2|D</t>
  </si>
  <si>
    <t>3|A</t>
  </si>
  <si>
    <t>3|B</t>
  </si>
  <si>
    <t>3|C</t>
  </si>
  <si>
    <t>3|D</t>
  </si>
  <si>
    <t>4|A</t>
  </si>
  <si>
    <t>4|B</t>
  </si>
  <si>
    <t>4|C</t>
  </si>
  <si>
    <t>4|D</t>
  </si>
  <si>
    <t>5|A</t>
  </si>
  <si>
    <t>5|B</t>
  </si>
  <si>
    <t>5|C</t>
  </si>
  <si>
    <t>5|D</t>
  </si>
  <si>
    <t>6|A</t>
  </si>
  <si>
    <t>6|B</t>
  </si>
  <si>
    <t>6|C</t>
  </si>
  <si>
    <t>6|D</t>
  </si>
  <si>
    <t>7|A</t>
  </si>
  <si>
    <t>7|B</t>
  </si>
  <si>
    <t>7|C</t>
  </si>
  <si>
    <t>7|D</t>
  </si>
  <si>
    <t>8|A</t>
  </si>
  <si>
    <t>8|B</t>
  </si>
  <si>
    <t>8|C</t>
  </si>
  <si>
    <t>8|D</t>
  </si>
  <si>
    <t>9|A</t>
  </si>
  <si>
    <t>9|B</t>
  </si>
  <si>
    <t>9|C</t>
  </si>
  <si>
    <t>9|D</t>
  </si>
  <si>
    <t>10|A</t>
  </si>
  <si>
    <t>10|B</t>
  </si>
  <si>
    <t>10|C</t>
  </si>
  <si>
    <t>10|D</t>
  </si>
  <si>
    <t>11|A</t>
  </si>
  <si>
    <t>11|B</t>
  </si>
  <si>
    <t>11|C</t>
  </si>
  <si>
    <t>11|D</t>
  </si>
  <si>
    <t>12|A</t>
  </si>
  <si>
    <t>12|B</t>
  </si>
  <si>
    <t>12|C</t>
  </si>
  <si>
    <t>12|D</t>
  </si>
  <si>
    <t>13|A</t>
  </si>
  <si>
    <t>13|B</t>
  </si>
  <si>
    <t>13|C</t>
  </si>
  <si>
    <t>13|D</t>
  </si>
  <si>
    <t>14|A</t>
  </si>
  <si>
    <t>14|B</t>
  </si>
  <si>
    <t>14|C</t>
  </si>
  <si>
    <t>14|D</t>
  </si>
  <si>
    <t>15|A</t>
  </si>
  <si>
    <t>15|B</t>
  </si>
  <si>
    <t>15|C</t>
  </si>
  <si>
    <t>15|D</t>
  </si>
  <si>
    <t>16|A</t>
  </si>
  <si>
    <t>16|B</t>
  </si>
  <si>
    <t>16|C</t>
  </si>
  <si>
    <t>16|D</t>
  </si>
  <si>
    <t>17|A</t>
  </si>
  <si>
    <t>17|B</t>
  </si>
  <si>
    <t>17|C</t>
  </si>
  <si>
    <t>17|D</t>
  </si>
  <si>
    <t>18|A</t>
  </si>
  <si>
    <t>18|B</t>
  </si>
  <si>
    <t>18|C</t>
  </si>
  <si>
    <t>18|D</t>
  </si>
  <si>
    <t>19|A</t>
  </si>
  <si>
    <t>19|B</t>
  </si>
  <si>
    <t>19|C</t>
  </si>
  <si>
    <t>19|D</t>
  </si>
  <si>
    <t>20|A</t>
  </si>
  <si>
    <t>20|B</t>
  </si>
  <si>
    <t>20|C</t>
  </si>
  <si>
    <t>20|D</t>
  </si>
  <si>
    <t>21|A</t>
  </si>
  <si>
    <t>21|B</t>
  </si>
  <si>
    <t>21|C</t>
  </si>
  <si>
    <t>21|D</t>
  </si>
  <si>
    <t>22|A</t>
  </si>
  <si>
    <t>22|B</t>
  </si>
  <si>
    <t>22|C</t>
  </si>
  <si>
    <t>22|D</t>
  </si>
  <si>
    <t>23|A</t>
  </si>
  <si>
    <t>23|B</t>
  </si>
  <si>
    <t>23|C</t>
  </si>
  <si>
    <t>23|D</t>
  </si>
  <si>
    <t>24|A</t>
  </si>
  <si>
    <t>24|B</t>
  </si>
  <si>
    <t>24|C</t>
  </si>
  <si>
    <t>24|D</t>
  </si>
  <si>
    <t>25|A</t>
  </si>
  <si>
    <t>25|B</t>
  </si>
  <si>
    <t>25|C</t>
  </si>
  <si>
    <t>25|D</t>
  </si>
  <si>
    <t>26|A</t>
  </si>
  <si>
    <t>26|B</t>
  </si>
  <si>
    <t>26|C</t>
  </si>
  <si>
    <t>26|D</t>
  </si>
  <si>
    <t>27|A</t>
  </si>
  <si>
    <t>27|B</t>
  </si>
  <si>
    <t>27|C</t>
  </si>
  <si>
    <t>27|D</t>
  </si>
  <si>
    <t>28|A</t>
  </si>
  <si>
    <t>28|B</t>
  </si>
  <si>
    <t>28|C</t>
  </si>
  <si>
    <t>28|D</t>
  </si>
  <si>
    <t>29|A</t>
  </si>
  <si>
    <t>29|B</t>
  </si>
  <si>
    <t>29|C</t>
  </si>
  <si>
    <t>29|D</t>
  </si>
  <si>
    <t>30|A</t>
  </si>
  <si>
    <t>30|B</t>
  </si>
  <si>
    <t>30|C</t>
  </si>
  <si>
    <t>30|D</t>
  </si>
  <si>
    <t>31|A</t>
  </si>
  <si>
    <t>31|B</t>
  </si>
  <si>
    <t>31|C</t>
  </si>
  <si>
    <t>31|D</t>
  </si>
  <si>
    <t>32|A</t>
  </si>
  <si>
    <t>32|B</t>
  </si>
  <si>
    <t>32|C</t>
  </si>
  <si>
    <t>32|D</t>
  </si>
  <si>
    <t>33|A</t>
  </si>
  <si>
    <t>33|B</t>
  </si>
  <si>
    <t>33|C</t>
  </si>
  <si>
    <t>33|D</t>
  </si>
  <si>
    <t>34|A</t>
  </si>
  <si>
    <t>34|B</t>
  </si>
  <si>
    <t>34|C</t>
  </si>
  <si>
    <t>34|D</t>
  </si>
  <si>
    <t>35|A</t>
  </si>
  <si>
    <t>35|B</t>
  </si>
  <si>
    <t>35|C</t>
  </si>
  <si>
    <t>35|D</t>
  </si>
  <si>
    <t>36|A</t>
  </si>
  <si>
    <t>36|B</t>
  </si>
  <si>
    <t>36|C</t>
  </si>
  <si>
    <t>36|D</t>
  </si>
  <si>
    <t>37|A</t>
  </si>
  <si>
    <t>37|B</t>
  </si>
  <si>
    <t>37|C</t>
  </si>
  <si>
    <t>37|D</t>
  </si>
  <si>
    <t>38|A</t>
  </si>
  <si>
    <t>38|B</t>
  </si>
  <si>
    <t>38|C</t>
  </si>
  <si>
    <t>38|D</t>
  </si>
  <si>
    <t>39|A</t>
  </si>
  <si>
    <t>39|B</t>
  </si>
  <si>
    <t>39|C</t>
  </si>
  <si>
    <t>39|D</t>
  </si>
  <si>
    <t>40|A</t>
  </si>
  <si>
    <t>40|B</t>
  </si>
  <si>
    <t>40|C</t>
  </si>
  <si>
    <t>40|D</t>
  </si>
  <si>
    <t>41|A</t>
  </si>
  <si>
    <t>41|B</t>
  </si>
  <si>
    <t>41|C</t>
  </si>
  <si>
    <t>41|D</t>
  </si>
  <si>
    <t>42|A</t>
  </si>
  <si>
    <t>42|B</t>
  </si>
  <si>
    <t>42|C</t>
  </si>
  <si>
    <t>42|D</t>
  </si>
  <si>
    <t>43|A</t>
  </si>
  <si>
    <t>43|B</t>
  </si>
  <si>
    <t>43|C</t>
  </si>
  <si>
    <t>43|D</t>
  </si>
  <si>
    <t>44|A</t>
  </si>
  <si>
    <t>44|B</t>
  </si>
  <si>
    <t>44|C</t>
  </si>
  <si>
    <t>44|D</t>
  </si>
  <si>
    <t>45|A</t>
  </si>
  <si>
    <t>45|B</t>
  </si>
  <si>
    <t>45|C</t>
  </si>
  <si>
    <t>45|D</t>
  </si>
  <si>
    <t>46|A</t>
  </si>
  <si>
    <t>46|B</t>
  </si>
  <si>
    <t>46|C</t>
  </si>
  <si>
    <t>46|D</t>
  </si>
  <si>
    <t>47|A</t>
  </si>
  <si>
    <t>47|B</t>
  </si>
  <si>
    <t>47|C</t>
  </si>
  <si>
    <t>47|D</t>
  </si>
  <si>
    <t>48|A</t>
  </si>
  <si>
    <t>48|B</t>
  </si>
  <si>
    <t>48|C</t>
  </si>
  <si>
    <t>48|D</t>
  </si>
  <si>
    <t>49|A</t>
  </si>
  <si>
    <t>49|B</t>
  </si>
  <si>
    <t>49|C</t>
  </si>
  <si>
    <t>49|D</t>
  </si>
  <si>
    <t>50|A</t>
  </si>
  <si>
    <t>50|B</t>
  </si>
  <si>
    <t>50|C</t>
  </si>
  <si>
    <t>50|D</t>
  </si>
  <si>
    <t>51|A</t>
  </si>
  <si>
    <t>51|B</t>
  </si>
  <si>
    <t>51|C</t>
  </si>
  <si>
    <t>51|D</t>
  </si>
  <si>
    <t>52|A</t>
  </si>
  <si>
    <t>52|B</t>
  </si>
  <si>
    <t>52|C</t>
  </si>
  <si>
    <t>52|D</t>
  </si>
  <si>
    <t>53|A</t>
  </si>
  <si>
    <t>53|B</t>
  </si>
  <si>
    <t>53|C</t>
  </si>
  <si>
    <t>53|D</t>
  </si>
  <si>
    <t>54|A</t>
  </si>
  <si>
    <t>54|B</t>
  </si>
  <si>
    <t>54|C</t>
  </si>
  <si>
    <t>54|D</t>
  </si>
  <si>
    <t>55|A</t>
  </si>
  <si>
    <t>55|B</t>
  </si>
  <si>
    <t>55|C</t>
  </si>
  <si>
    <t>55|D</t>
  </si>
  <si>
    <t>56|A</t>
  </si>
  <si>
    <t>56|B</t>
  </si>
  <si>
    <t>56|C</t>
  </si>
  <si>
    <t>56|D</t>
  </si>
  <si>
    <t>57|A</t>
  </si>
  <si>
    <t>57|B</t>
  </si>
  <si>
    <t>57|C</t>
  </si>
  <si>
    <t>57|D</t>
  </si>
  <si>
    <t>58|A</t>
  </si>
  <si>
    <t>58|B</t>
  </si>
  <si>
    <t>58|C</t>
  </si>
  <si>
    <t>58|D</t>
  </si>
  <si>
    <t>59|A</t>
  </si>
  <si>
    <t>59|B</t>
  </si>
  <si>
    <t>59|C</t>
  </si>
  <si>
    <t>59|D</t>
  </si>
  <si>
    <t>60|A</t>
  </si>
  <si>
    <t>60|B</t>
  </si>
  <si>
    <t>60|C</t>
  </si>
  <si>
    <t>60|D</t>
  </si>
  <si>
    <t>61|A</t>
  </si>
  <si>
    <t>61|B</t>
  </si>
  <si>
    <t>61|C</t>
  </si>
  <si>
    <t>61|D</t>
  </si>
  <si>
    <t>62|A</t>
  </si>
  <si>
    <t>62|B</t>
  </si>
  <si>
    <t>62|C</t>
  </si>
  <si>
    <t>62|D</t>
  </si>
  <si>
    <t>63|A</t>
  </si>
  <si>
    <t>63|B</t>
  </si>
  <si>
    <t>63|C</t>
  </si>
  <si>
    <t>63|D</t>
  </si>
  <si>
    <t>64|A</t>
  </si>
  <si>
    <t>64|B</t>
  </si>
  <si>
    <t>64|C</t>
  </si>
  <si>
    <t>64|D</t>
  </si>
  <si>
    <t>65|A</t>
  </si>
  <si>
    <t>65|B</t>
  </si>
  <si>
    <t>65|C</t>
  </si>
  <si>
    <t>65|D</t>
  </si>
  <si>
    <t>66|A</t>
  </si>
  <si>
    <t>66|B</t>
  </si>
  <si>
    <t>66|C</t>
  </si>
  <si>
    <t>66|D</t>
  </si>
  <si>
    <t>67|A</t>
  </si>
  <si>
    <t>67|B</t>
  </si>
  <si>
    <t>67|C</t>
  </si>
  <si>
    <t>67|D</t>
  </si>
  <si>
    <t>68|A</t>
  </si>
  <si>
    <t>68|B</t>
  </si>
  <si>
    <t>68|C</t>
  </si>
  <si>
    <t>68|D</t>
  </si>
  <si>
    <t>69|A</t>
  </si>
  <si>
    <t>69|B</t>
  </si>
  <si>
    <t>69|C</t>
  </si>
  <si>
    <t>69|D</t>
  </si>
  <si>
    <t>70|A</t>
  </si>
  <si>
    <t>70|B</t>
  </si>
  <si>
    <t>70|C</t>
  </si>
  <si>
    <t>70|D</t>
  </si>
  <si>
    <t>71|A</t>
  </si>
  <si>
    <t>71|B</t>
  </si>
  <si>
    <t>71|C</t>
  </si>
  <si>
    <t>71|D</t>
  </si>
  <si>
    <t>72|A</t>
  </si>
  <si>
    <t>72|B</t>
  </si>
  <si>
    <t>72|C</t>
  </si>
  <si>
    <t>72|D</t>
  </si>
  <si>
    <t>73|A</t>
  </si>
  <si>
    <t>73|B</t>
  </si>
  <si>
    <t>73|C</t>
  </si>
  <si>
    <t>73|D</t>
  </si>
  <si>
    <t>74|A</t>
  </si>
  <si>
    <t>74|B</t>
  </si>
  <si>
    <t>74|C</t>
  </si>
  <si>
    <t>74|D</t>
  </si>
  <si>
    <t>75|A</t>
  </si>
  <si>
    <t>75|B</t>
  </si>
  <si>
    <t>75|C</t>
  </si>
  <si>
    <t>75|D</t>
  </si>
  <si>
    <t>76|A</t>
  </si>
  <si>
    <t>76|B</t>
  </si>
  <si>
    <t>76|C</t>
  </si>
  <si>
    <t>76|D</t>
  </si>
  <si>
    <t>77|A</t>
  </si>
  <si>
    <t>77|B</t>
  </si>
  <si>
    <t>77|C</t>
  </si>
  <si>
    <t>77|D</t>
  </si>
  <si>
    <t>78|A</t>
  </si>
  <si>
    <t>78|B</t>
  </si>
  <si>
    <t>78|C</t>
  </si>
  <si>
    <t>78|D</t>
  </si>
  <si>
    <t>79|A</t>
  </si>
  <si>
    <t>79|B</t>
  </si>
  <si>
    <t>79|C</t>
  </si>
  <si>
    <t>79|D</t>
  </si>
  <si>
    <t>80|A</t>
  </si>
  <si>
    <t>80|B</t>
  </si>
  <si>
    <t>80|C</t>
  </si>
  <si>
    <t>80|D</t>
  </si>
  <si>
    <t>Response</t>
  </si>
  <si>
    <t>Selected Option</t>
  </si>
  <si>
    <t/>
  </si>
  <si>
    <t>Sonartra Signals Results</t>
  </si>
  <si>
    <t>Culture Target Inputs (%)</t>
  </si>
  <si>
    <t>Target %</t>
  </si>
  <si>
    <t>Headline Outputs</t>
  </si>
  <si>
    <t>Dominant Behaviour Style</t>
  </si>
  <si>
    <t>Style Driver</t>
  </si>
  <si>
    <t>Secondary Behaviour Style</t>
  </si>
  <si>
    <t>Style Influencer</t>
  </si>
  <si>
    <t>Style Operator</t>
  </si>
  <si>
    <t>Motivational Core</t>
  </si>
  <si>
    <t>Style Analyst</t>
  </si>
  <si>
    <t>Leadership Architecture</t>
  </si>
  <si>
    <t>Conflict Mode</t>
  </si>
  <si>
    <t>Stress Derailer Risk</t>
  </si>
  <si>
    <t>Motivators</t>
  </si>
  <si>
    <t>Mot Achievement</t>
  </si>
  <si>
    <t>Decision Orientation</t>
  </si>
  <si>
    <t>Mot Influence</t>
  </si>
  <si>
    <t>Role Alignment</t>
  </si>
  <si>
    <t>Mot Stability</t>
  </si>
  <si>
    <t>Leadership Potential Score</t>
  </si>
  <si>
    <t>Mot Mastery</t>
  </si>
  <si>
    <t>Culture Tension Index</t>
  </si>
  <si>
    <t>Lead Results</t>
  </si>
  <si>
    <t>Lead Vision</t>
  </si>
  <si>
    <t>Lead People</t>
  </si>
  <si>
    <t>Lead Process</t>
  </si>
  <si>
    <t>Conflict Compete</t>
  </si>
  <si>
    <t>Conflict Collaborate</t>
  </si>
  <si>
    <t>Conflict Compromise</t>
  </si>
  <si>
    <t>Conflict Accommodate</t>
  </si>
  <si>
    <t>Conflict Avoid</t>
  </si>
  <si>
    <t>Culture Market</t>
  </si>
  <si>
    <t>Culture Adhocracy</t>
  </si>
  <si>
    <t>Culture Clan</t>
  </si>
  <si>
    <t>Culture Hierarchy</t>
  </si>
  <si>
    <t>Stress</t>
  </si>
  <si>
    <t>Stress Control</t>
  </si>
  <si>
    <t>Stress Scatter</t>
  </si>
  <si>
    <t>Stress Avoidance</t>
  </si>
  <si>
    <t>Stress Criticality</t>
  </si>
  <si>
    <t>Decision Agility</t>
  </si>
  <si>
    <t>Decision Consensus</t>
  </si>
  <si>
    <t>Decision Stability</t>
  </si>
  <si>
    <t>Decision Evidence</t>
  </si>
  <si>
    <t>Commercial Leadership</t>
  </si>
  <si>
    <t>Business Development</t>
  </si>
  <si>
    <t>Operations Management</t>
  </si>
  <si>
    <t>Technical Specialist</t>
  </si>
  <si>
    <t>Sonartra Signals – Generated Individual Report</t>
  </si>
  <si>
    <t>Leadership Profile</t>
  </si>
  <si>
    <t>Pressure Pattern</t>
  </si>
  <si>
    <t>Culture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</si>
</sst>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C4CE"/>
      </left>
      <right style="thin">
        <color rgb="FFB7C4CE"/>
      </right>
      <top style="thin">
        <color rgb="FFB7C4CE"/>
      </top>
      <bottom style="thin">
        <color rgb="FFB7C4C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0" xfId="0" applyFont="1" applyFill="1"/>
    <xf numFmtId="1" fontId="0" fillId="3" borderId="0" xfId="0" applyNumberFormat="1" applyFill="1"/>
    <xf numFmtId="0" fontId="2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cols>
    <col min="1" max="1" width="22" customWidth="1"/>
    <col min="2" max="2" width="110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/>
  </sheetViews>
  <sheetFormatPr defaultRowHeight="15" x14ac:dyDescent="0.25"/>
  <cols>
    <col min="1" max="1" width="6" customWidth="1"/>
    <col min="2" max="2" width="28" customWidth="1"/>
    <col min="3" max="3" width="44" customWidth="1"/>
    <col min="4" max="7" width="34" customWidth="1"/>
  </cols>
  <sheetData>
    <row r="1" spans="1:7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7" ht="30" x14ac:dyDescent="0.25">
      <c r="A2" s="4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</row>
    <row r="3" spans="1:7" x14ac:dyDescent="0.25">
      <c r="A3" s="4">
        <v>2</v>
      </c>
      <c r="B3" s="4" t="s">
        <v>16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</row>
    <row r="4" spans="1:7" x14ac:dyDescent="0.25">
      <c r="A4" s="4">
        <v>3</v>
      </c>
      <c r="B4" s="4" t="s">
        <v>16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</row>
    <row r="5" spans="1:7" x14ac:dyDescent="0.25">
      <c r="A5" s="4">
        <v>4</v>
      </c>
      <c r="B5" s="4" t="s">
        <v>16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</row>
    <row r="6" spans="1:7" x14ac:dyDescent="0.25">
      <c r="A6" s="4">
        <v>5</v>
      </c>
      <c r="B6" s="4" t="s">
        <v>16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</row>
    <row r="7" spans="1:7" x14ac:dyDescent="0.25">
      <c r="A7" s="4">
        <v>6</v>
      </c>
      <c r="B7" s="4" t="s">
        <v>16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</row>
    <row r="8" spans="1:7" x14ac:dyDescent="0.25">
      <c r="A8" s="4">
        <v>7</v>
      </c>
      <c r="B8" s="4" t="s">
        <v>16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</row>
    <row r="9" spans="1:7" x14ac:dyDescent="0.25">
      <c r="A9" s="4">
        <v>8</v>
      </c>
      <c r="B9" s="4" t="s">
        <v>16</v>
      </c>
      <c r="C9" s="4" t="s">
        <v>52</v>
      </c>
      <c r="D9" s="4" t="s">
        <v>53</v>
      </c>
      <c r="E9" s="4" t="s">
        <v>44</v>
      </c>
      <c r="F9" s="4" t="s">
        <v>54</v>
      </c>
      <c r="G9" s="4" t="s">
        <v>55</v>
      </c>
    </row>
    <row r="10" spans="1:7" x14ac:dyDescent="0.25">
      <c r="A10" s="4">
        <v>9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</row>
    <row r="11" spans="1:7" x14ac:dyDescent="0.25">
      <c r="A11" s="4">
        <v>10</v>
      </c>
      <c r="B11" s="4" t="s">
        <v>56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</row>
    <row r="12" spans="1:7" x14ac:dyDescent="0.25">
      <c r="A12" s="4">
        <v>11</v>
      </c>
      <c r="B12" s="4" t="s">
        <v>56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</row>
    <row r="13" spans="1:7" x14ac:dyDescent="0.25">
      <c r="A13" s="4">
        <v>12</v>
      </c>
      <c r="B13" s="4" t="s">
        <v>56</v>
      </c>
      <c r="C13" s="4" t="s">
        <v>72</v>
      </c>
      <c r="D13" s="4" t="s">
        <v>73</v>
      </c>
      <c r="E13" s="4" t="s">
        <v>74</v>
      </c>
      <c r="F13" s="4" t="s">
        <v>75</v>
      </c>
      <c r="G13" s="4" t="s">
        <v>76</v>
      </c>
    </row>
    <row r="14" spans="1:7" x14ac:dyDescent="0.25">
      <c r="A14" s="4">
        <v>13</v>
      </c>
      <c r="B14" s="4" t="s">
        <v>56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</row>
    <row r="15" spans="1:7" x14ac:dyDescent="0.25">
      <c r="A15" s="4">
        <v>14</v>
      </c>
      <c r="B15" s="4" t="s">
        <v>56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</row>
    <row r="16" spans="1:7" x14ac:dyDescent="0.25">
      <c r="A16" s="4">
        <v>15</v>
      </c>
      <c r="B16" s="4" t="s">
        <v>56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</row>
    <row r="17" spans="1:7" x14ac:dyDescent="0.25">
      <c r="A17" s="4">
        <v>16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97</v>
      </c>
    </row>
    <row r="18" spans="1:7" x14ac:dyDescent="0.25">
      <c r="A18" s="4">
        <v>17</v>
      </c>
      <c r="B18" s="4" t="s">
        <v>92</v>
      </c>
      <c r="C18" s="4" t="s">
        <v>98</v>
      </c>
      <c r="D18" s="4" t="s">
        <v>99</v>
      </c>
      <c r="E18" s="4" t="s">
        <v>100</v>
      </c>
      <c r="F18" s="4" t="s">
        <v>101</v>
      </c>
      <c r="G18" s="4" t="s">
        <v>102</v>
      </c>
    </row>
    <row r="19" spans="1:7" x14ac:dyDescent="0.25">
      <c r="A19" s="4">
        <v>18</v>
      </c>
      <c r="B19" s="4" t="s">
        <v>92</v>
      </c>
      <c r="C19" s="4" t="s">
        <v>103</v>
      </c>
      <c r="D19" s="4" t="s">
        <v>104</v>
      </c>
      <c r="E19" s="4" t="s">
        <v>105</v>
      </c>
      <c r="F19" s="4" t="s">
        <v>106</v>
      </c>
      <c r="G19" s="4" t="s">
        <v>107</v>
      </c>
    </row>
    <row r="20" spans="1:7" x14ac:dyDescent="0.25">
      <c r="A20" s="4">
        <v>19</v>
      </c>
      <c r="B20" s="4" t="s">
        <v>92</v>
      </c>
      <c r="C20" s="4" t="s">
        <v>108</v>
      </c>
      <c r="D20" s="4" t="s">
        <v>109</v>
      </c>
      <c r="E20" s="4" t="s">
        <v>110</v>
      </c>
      <c r="F20" s="4" t="s">
        <v>111</v>
      </c>
      <c r="G20" s="4" t="s">
        <v>112</v>
      </c>
    </row>
    <row r="21" spans="1:7" x14ac:dyDescent="0.25">
      <c r="A21" s="4">
        <v>20</v>
      </c>
      <c r="B21" s="4" t="s">
        <v>92</v>
      </c>
      <c r="C21" s="4" t="s">
        <v>113</v>
      </c>
      <c r="D21" s="4" t="s">
        <v>114</v>
      </c>
      <c r="E21" s="4" t="s">
        <v>115</v>
      </c>
      <c r="F21" s="4" t="s">
        <v>116</v>
      </c>
      <c r="G21" s="4" t="s">
        <v>117</v>
      </c>
    </row>
    <row r="22" spans="1:7" x14ac:dyDescent="0.25">
      <c r="A22" s="4">
        <v>21</v>
      </c>
      <c r="B22" s="4" t="s">
        <v>92</v>
      </c>
      <c r="C22" s="4" t="s">
        <v>118</v>
      </c>
      <c r="D22" s="4" t="s">
        <v>119</v>
      </c>
      <c r="E22" s="4" t="s">
        <v>120</v>
      </c>
      <c r="F22" s="4" t="s">
        <v>80</v>
      </c>
      <c r="G22" s="4" t="s">
        <v>121</v>
      </c>
    </row>
    <row r="23" spans="1:7" x14ac:dyDescent="0.25">
      <c r="A23" s="4">
        <v>22</v>
      </c>
      <c r="B23" s="4" t="s">
        <v>92</v>
      </c>
      <c r="C23" s="4" t="s">
        <v>122</v>
      </c>
      <c r="D23" s="4" t="s">
        <v>123</v>
      </c>
      <c r="E23" s="4" t="s">
        <v>124</v>
      </c>
      <c r="F23" s="4" t="s">
        <v>125</v>
      </c>
      <c r="G23" s="4" t="s">
        <v>126</v>
      </c>
    </row>
    <row r="24" spans="1:7" x14ac:dyDescent="0.25">
      <c r="A24" s="4">
        <v>23</v>
      </c>
      <c r="B24" s="4" t="s">
        <v>127</v>
      </c>
      <c r="C24" s="4" t="s">
        <v>128</v>
      </c>
      <c r="D24" s="4" t="s">
        <v>129</v>
      </c>
      <c r="E24" s="4" t="s">
        <v>130</v>
      </c>
      <c r="F24" s="4" t="s">
        <v>131</v>
      </c>
      <c r="G24" s="4" t="s">
        <v>132</v>
      </c>
    </row>
    <row r="25" spans="1:7" x14ac:dyDescent="0.25">
      <c r="A25" s="4">
        <v>24</v>
      </c>
      <c r="B25" s="4" t="s">
        <v>127</v>
      </c>
      <c r="C25" s="4" t="s">
        <v>133</v>
      </c>
      <c r="D25" s="4" t="s">
        <v>134</v>
      </c>
      <c r="E25" s="4" t="s">
        <v>135</v>
      </c>
      <c r="F25" s="4" t="s">
        <v>136</v>
      </c>
      <c r="G25" s="4" t="s">
        <v>137</v>
      </c>
    </row>
    <row r="26" spans="1:7" x14ac:dyDescent="0.25">
      <c r="A26" s="4">
        <v>25</v>
      </c>
      <c r="B26" s="4" t="s">
        <v>127</v>
      </c>
      <c r="C26" s="4" t="s">
        <v>138</v>
      </c>
      <c r="D26" s="4" t="s">
        <v>139</v>
      </c>
      <c r="E26" s="4" t="s">
        <v>140</v>
      </c>
      <c r="F26" s="4" t="s">
        <v>141</v>
      </c>
      <c r="G26" s="4" t="s">
        <v>142</v>
      </c>
    </row>
    <row r="27" spans="1:7" x14ac:dyDescent="0.25">
      <c r="A27" s="4">
        <v>26</v>
      </c>
      <c r="B27" s="4" t="s">
        <v>127</v>
      </c>
      <c r="C27" s="4" t="s">
        <v>143</v>
      </c>
      <c r="D27" s="4" t="s">
        <v>144</v>
      </c>
      <c r="E27" s="4" t="s">
        <v>145</v>
      </c>
      <c r="F27" s="4" t="s">
        <v>146</v>
      </c>
      <c r="G27" s="4" t="s">
        <v>147</v>
      </c>
    </row>
    <row r="28" spans="1:7" x14ac:dyDescent="0.25">
      <c r="A28" s="4">
        <v>27</v>
      </c>
      <c r="B28" s="4" t="s">
        <v>127</v>
      </c>
      <c r="C28" s="4" t="s">
        <v>148</v>
      </c>
      <c r="D28" s="4" t="s">
        <v>149</v>
      </c>
      <c r="E28" s="4" t="s">
        <v>150</v>
      </c>
      <c r="F28" s="4" t="s">
        <v>151</v>
      </c>
      <c r="G28" s="4" t="s">
        <v>152</v>
      </c>
    </row>
    <row r="29" spans="1:7" x14ac:dyDescent="0.25">
      <c r="A29" s="4">
        <v>28</v>
      </c>
      <c r="B29" s="4" t="s">
        <v>127</v>
      </c>
      <c r="C29" s="4" t="s">
        <v>153</v>
      </c>
      <c r="D29" s="4" t="s">
        <v>154</v>
      </c>
      <c r="E29" s="4" t="s">
        <v>95</v>
      </c>
      <c r="F29" s="4" t="s">
        <v>155</v>
      </c>
      <c r="G29" s="4" t="s">
        <v>156</v>
      </c>
    </row>
    <row r="30" spans="1:7" x14ac:dyDescent="0.25">
      <c r="A30" s="4">
        <v>29</v>
      </c>
      <c r="B30" s="4" t="s">
        <v>157</v>
      </c>
      <c r="C30" s="4" t="s">
        <v>158</v>
      </c>
      <c r="D30" s="4" t="s">
        <v>109</v>
      </c>
      <c r="E30" s="4" t="s">
        <v>159</v>
      </c>
      <c r="F30" s="4" t="s">
        <v>160</v>
      </c>
      <c r="G30" s="4" t="s">
        <v>151</v>
      </c>
    </row>
    <row r="31" spans="1:7" x14ac:dyDescent="0.25">
      <c r="A31" s="4">
        <v>30</v>
      </c>
      <c r="B31" s="4" t="s">
        <v>157</v>
      </c>
      <c r="C31" s="4" t="s">
        <v>161</v>
      </c>
      <c r="D31" s="4" t="s">
        <v>162</v>
      </c>
      <c r="E31" s="4" t="s">
        <v>163</v>
      </c>
      <c r="F31" s="4" t="s">
        <v>164</v>
      </c>
      <c r="G31" s="4" t="s">
        <v>165</v>
      </c>
    </row>
    <row r="32" spans="1:7" x14ac:dyDescent="0.25">
      <c r="A32" s="4">
        <v>31</v>
      </c>
      <c r="B32" s="4" t="s">
        <v>157</v>
      </c>
      <c r="C32" s="4" t="s">
        <v>166</v>
      </c>
      <c r="D32" s="4" t="s">
        <v>167</v>
      </c>
      <c r="E32" s="4" t="s">
        <v>168</v>
      </c>
      <c r="F32" s="4" t="s">
        <v>169</v>
      </c>
      <c r="G32" s="4" t="s">
        <v>170</v>
      </c>
    </row>
    <row r="33" spans="1:7" x14ac:dyDescent="0.25">
      <c r="A33" s="4">
        <v>32</v>
      </c>
      <c r="B33" s="4" t="s">
        <v>157</v>
      </c>
      <c r="C33" s="4" t="s">
        <v>171</v>
      </c>
      <c r="D33" s="4" t="s">
        <v>172</v>
      </c>
      <c r="E33" s="4" t="s">
        <v>173</v>
      </c>
      <c r="F33" s="4" t="s">
        <v>174</v>
      </c>
      <c r="G33" s="4" t="s">
        <v>175</v>
      </c>
    </row>
    <row r="34" spans="1:7" x14ac:dyDescent="0.25">
      <c r="A34" s="4">
        <v>33</v>
      </c>
      <c r="B34" s="4" t="s">
        <v>157</v>
      </c>
      <c r="C34" s="4" t="s">
        <v>176</v>
      </c>
      <c r="D34" s="4" t="s">
        <v>177</v>
      </c>
      <c r="E34" s="4" t="s">
        <v>95</v>
      </c>
      <c r="F34" s="4" t="s">
        <v>178</v>
      </c>
      <c r="G34" s="4" t="s">
        <v>179</v>
      </c>
    </row>
    <row r="35" spans="1:7" x14ac:dyDescent="0.25">
      <c r="A35" s="4">
        <v>34</v>
      </c>
      <c r="B35" s="4" t="s">
        <v>157</v>
      </c>
      <c r="C35" s="4" t="s">
        <v>180</v>
      </c>
      <c r="D35" s="4" t="s">
        <v>181</v>
      </c>
      <c r="E35" s="4" t="s">
        <v>182</v>
      </c>
      <c r="F35" s="4" t="s">
        <v>183</v>
      </c>
      <c r="G35" s="4" t="s">
        <v>184</v>
      </c>
    </row>
    <row r="36" spans="1:7" x14ac:dyDescent="0.25">
      <c r="A36" s="4">
        <v>35</v>
      </c>
      <c r="B36" s="4" t="s">
        <v>185</v>
      </c>
      <c r="C36" s="4" t="s">
        <v>186</v>
      </c>
      <c r="D36" s="4" t="s">
        <v>187</v>
      </c>
      <c r="E36" s="4" t="s">
        <v>188</v>
      </c>
      <c r="F36" s="4" t="s">
        <v>189</v>
      </c>
      <c r="G36" s="4" t="s">
        <v>190</v>
      </c>
    </row>
    <row r="37" spans="1:7" x14ac:dyDescent="0.25">
      <c r="A37" s="4">
        <v>36</v>
      </c>
      <c r="B37" s="4" t="s">
        <v>185</v>
      </c>
      <c r="C37" s="4" t="s">
        <v>191</v>
      </c>
      <c r="D37" s="4" t="s">
        <v>192</v>
      </c>
      <c r="E37" s="4" t="s">
        <v>193</v>
      </c>
      <c r="F37" s="4" t="s">
        <v>194</v>
      </c>
      <c r="G37" s="4" t="s">
        <v>195</v>
      </c>
    </row>
    <row r="38" spans="1:7" x14ac:dyDescent="0.25">
      <c r="A38" s="4">
        <v>37</v>
      </c>
      <c r="B38" s="4" t="s">
        <v>185</v>
      </c>
      <c r="C38" s="4" t="s">
        <v>196</v>
      </c>
      <c r="D38" s="4" t="s">
        <v>197</v>
      </c>
      <c r="E38" s="4" t="s">
        <v>198</v>
      </c>
      <c r="F38" s="4" t="s">
        <v>199</v>
      </c>
      <c r="G38" s="4" t="s">
        <v>200</v>
      </c>
    </row>
    <row r="39" spans="1:7" x14ac:dyDescent="0.25">
      <c r="A39" s="4">
        <v>38</v>
      </c>
      <c r="B39" s="4" t="s">
        <v>185</v>
      </c>
      <c r="C39" s="4" t="s">
        <v>201</v>
      </c>
      <c r="D39" s="4" t="s">
        <v>202</v>
      </c>
      <c r="E39" s="4" t="s">
        <v>203</v>
      </c>
      <c r="F39" s="4" t="s">
        <v>204</v>
      </c>
      <c r="G39" s="4" t="s">
        <v>205</v>
      </c>
    </row>
    <row r="40" spans="1:7" x14ac:dyDescent="0.25">
      <c r="A40" s="4">
        <v>39</v>
      </c>
      <c r="B40" s="4" t="s">
        <v>185</v>
      </c>
      <c r="C40" s="4" t="s">
        <v>206</v>
      </c>
      <c r="D40" s="4" t="s">
        <v>207</v>
      </c>
      <c r="E40" s="4" t="s">
        <v>208</v>
      </c>
      <c r="F40" s="4" t="s">
        <v>183</v>
      </c>
      <c r="G40" s="4" t="s">
        <v>209</v>
      </c>
    </row>
    <row r="41" spans="1:7" x14ac:dyDescent="0.25">
      <c r="A41" s="4">
        <v>40</v>
      </c>
      <c r="B41" s="4" t="s">
        <v>185</v>
      </c>
      <c r="C41" s="4" t="s">
        <v>210</v>
      </c>
      <c r="D41" s="4" t="s">
        <v>211</v>
      </c>
      <c r="E41" s="4" t="s">
        <v>212</v>
      </c>
      <c r="F41" s="4" t="s">
        <v>213</v>
      </c>
      <c r="G41" s="4" t="s">
        <v>214</v>
      </c>
    </row>
    <row r="42" spans="1:7" x14ac:dyDescent="0.25">
      <c r="A42" s="4">
        <v>41</v>
      </c>
      <c r="B42" s="4" t="s">
        <v>215</v>
      </c>
      <c r="C42" s="4" t="s">
        <v>216</v>
      </c>
      <c r="D42" s="4" t="s">
        <v>217</v>
      </c>
      <c r="E42" s="4" t="s">
        <v>218</v>
      </c>
      <c r="F42" s="4" t="s">
        <v>219</v>
      </c>
      <c r="G42" s="4" t="s">
        <v>220</v>
      </c>
    </row>
    <row r="43" spans="1:7" x14ac:dyDescent="0.25">
      <c r="A43" s="4">
        <v>42</v>
      </c>
      <c r="B43" s="4" t="s">
        <v>215</v>
      </c>
      <c r="C43" s="4" t="s">
        <v>221</v>
      </c>
      <c r="D43" s="4" t="s">
        <v>53</v>
      </c>
      <c r="E43" s="4" t="s">
        <v>222</v>
      </c>
      <c r="F43" s="4" t="s">
        <v>223</v>
      </c>
      <c r="G43" s="4" t="s">
        <v>224</v>
      </c>
    </row>
    <row r="44" spans="1:7" x14ac:dyDescent="0.25">
      <c r="A44" s="4">
        <v>43</v>
      </c>
      <c r="B44" s="4" t="s">
        <v>215</v>
      </c>
      <c r="C44" s="4" t="s">
        <v>225</v>
      </c>
      <c r="D44" s="4" t="s">
        <v>226</v>
      </c>
      <c r="E44" s="4" t="s">
        <v>95</v>
      </c>
      <c r="F44" s="4" t="s">
        <v>141</v>
      </c>
      <c r="G44" s="4" t="s">
        <v>227</v>
      </c>
    </row>
    <row r="45" spans="1:7" x14ac:dyDescent="0.25">
      <c r="A45" s="4">
        <v>44</v>
      </c>
      <c r="B45" s="4" t="s">
        <v>215</v>
      </c>
      <c r="C45" s="4" t="s">
        <v>228</v>
      </c>
      <c r="D45" s="4" t="s">
        <v>229</v>
      </c>
      <c r="E45" s="4" t="s">
        <v>230</v>
      </c>
      <c r="F45" s="4" t="s">
        <v>96</v>
      </c>
      <c r="G45" s="4" t="s">
        <v>231</v>
      </c>
    </row>
    <row r="46" spans="1:7" x14ac:dyDescent="0.25">
      <c r="A46" s="4">
        <v>45</v>
      </c>
      <c r="B46" s="4" t="s">
        <v>215</v>
      </c>
      <c r="C46" s="4" t="s">
        <v>232</v>
      </c>
      <c r="D46" s="4" t="s">
        <v>233</v>
      </c>
      <c r="E46" s="4" t="s">
        <v>234</v>
      </c>
      <c r="F46" s="4" t="s">
        <v>235</v>
      </c>
      <c r="G46" s="4" t="s">
        <v>236</v>
      </c>
    </row>
    <row r="47" spans="1:7" x14ac:dyDescent="0.25">
      <c r="A47" s="4">
        <v>46</v>
      </c>
      <c r="B47" s="4" t="s">
        <v>237</v>
      </c>
      <c r="C47" s="4" t="s">
        <v>238</v>
      </c>
      <c r="D47" s="4" t="s">
        <v>239</v>
      </c>
      <c r="E47" s="4" t="s">
        <v>240</v>
      </c>
      <c r="F47" s="4" t="s">
        <v>241</v>
      </c>
      <c r="G47" s="4" t="s">
        <v>242</v>
      </c>
    </row>
    <row r="48" spans="1:7" x14ac:dyDescent="0.25">
      <c r="A48" s="4">
        <v>47</v>
      </c>
      <c r="B48" s="4" t="s">
        <v>237</v>
      </c>
      <c r="C48" s="4" t="s">
        <v>243</v>
      </c>
      <c r="D48" s="4" t="s">
        <v>244</v>
      </c>
      <c r="E48" s="4" t="s">
        <v>245</v>
      </c>
      <c r="F48" s="4" t="s">
        <v>246</v>
      </c>
      <c r="G48" s="4" t="s">
        <v>247</v>
      </c>
    </row>
    <row r="49" spans="1:7" x14ac:dyDescent="0.25">
      <c r="A49" s="4">
        <v>48</v>
      </c>
      <c r="B49" s="4" t="s">
        <v>237</v>
      </c>
      <c r="C49" s="4" t="s">
        <v>248</v>
      </c>
      <c r="D49" s="4" t="s">
        <v>249</v>
      </c>
      <c r="E49" s="4" t="s">
        <v>250</v>
      </c>
      <c r="F49" s="4" t="s">
        <v>251</v>
      </c>
      <c r="G49" s="4" t="s">
        <v>252</v>
      </c>
    </row>
    <row r="50" spans="1:7" x14ac:dyDescent="0.25">
      <c r="A50" s="4">
        <v>49</v>
      </c>
      <c r="B50" s="4" t="s">
        <v>237</v>
      </c>
      <c r="C50" s="4" t="s">
        <v>253</v>
      </c>
      <c r="D50" s="4" t="s">
        <v>254</v>
      </c>
      <c r="E50" s="4" t="s">
        <v>255</v>
      </c>
      <c r="F50" s="4" t="s">
        <v>256</v>
      </c>
      <c r="G50" s="4" t="s">
        <v>257</v>
      </c>
    </row>
    <row r="51" spans="1:7" x14ac:dyDescent="0.25">
      <c r="A51" s="4">
        <v>50</v>
      </c>
      <c r="B51" s="4" t="s">
        <v>237</v>
      </c>
      <c r="C51" s="4" t="s">
        <v>258</v>
      </c>
      <c r="D51" s="4" t="s">
        <v>259</v>
      </c>
      <c r="E51" s="4" t="s">
        <v>260</v>
      </c>
      <c r="F51" s="4" t="s">
        <v>261</v>
      </c>
      <c r="G51" s="4" t="s">
        <v>262</v>
      </c>
    </row>
    <row r="52" spans="1:7" x14ac:dyDescent="0.25">
      <c r="A52" s="4">
        <v>51</v>
      </c>
      <c r="B52" s="4" t="s">
        <v>263</v>
      </c>
      <c r="C52" s="4" t="s">
        <v>264</v>
      </c>
      <c r="D52" s="4" t="s">
        <v>265</v>
      </c>
      <c r="E52" s="4" t="s">
        <v>266</v>
      </c>
      <c r="F52" s="4" t="s">
        <v>35</v>
      </c>
      <c r="G52" s="4" t="s">
        <v>267</v>
      </c>
    </row>
    <row r="53" spans="1:7" x14ac:dyDescent="0.25">
      <c r="A53" s="4">
        <v>52</v>
      </c>
      <c r="B53" s="4" t="s">
        <v>263</v>
      </c>
      <c r="C53" s="4" t="s">
        <v>268</v>
      </c>
      <c r="D53" s="4" t="s">
        <v>269</v>
      </c>
      <c r="E53" s="4" t="s">
        <v>270</v>
      </c>
      <c r="F53" s="4" t="s">
        <v>271</v>
      </c>
      <c r="G53" s="4" t="s">
        <v>272</v>
      </c>
    </row>
    <row r="54" spans="1:7" x14ac:dyDescent="0.25">
      <c r="A54" s="4">
        <v>53</v>
      </c>
      <c r="B54" s="4" t="s">
        <v>263</v>
      </c>
      <c r="C54" s="4" t="s">
        <v>273</v>
      </c>
      <c r="D54" s="4" t="s">
        <v>274</v>
      </c>
      <c r="E54" s="4" t="s">
        <v>275</v>
      </c>
      <c r="F54" s="4" t="s">
        <v>155</v>
      </c>
      <c r="G54" s="4" t="s">
        <v>276</v>
      </c>
    </row>
    <row r="55" spans="1:7" x14ac:dyDescent="0.25">
      <c r="A55" s="4">
        <v>54</v>
      </c>
      <c r="B55" s="4" t="s">
        <v>263</v>
      </c>
      <c r="C55" s="4" t="s">
        <v>277</v>
      </c>
      <c r="D55" s="4" t="s">
        <v>278</v>
      </c>
      <c r="E55" s="4" t="s">
        <v>120</v>
      </c>
      <c r="F55" s="4" t="s">
        <v>279</v>
      </c>
      <c r="G55" s="4" t="s">
        <v>280</v>
      </c>
    </row>
    <row r="56" spans="1:7" x14ac:dyDescent="0.25">
      <c r="A56" s="4">
        <v>55</v>
      </c>
      <c r="B56" s="4" t="s">
        <v>263</v>
      </c>
      <c r="C56" s="4" t="s">
        <v>281</v>
      </c>
      <c r="D56" s="4" t="s">
        <v>282</v>
      </c>
      <c r="E56" s="4" t="s">
        <v>283</v>
      </c>
      <c r="F56" s="4" t="s">
        <v>284</v>
      </c>
      <c r="G56" s="4" t="s">
        <v>285</v>
      </c>
    </row>
    <row r="57" spans="1:7" x14ac:dyDescent="0.25">
      <c r="A57" s="4">
        <v>56</v>
      </c>
      <c r="B57" s="4" t="s">
        <v>286</v>
      </c>
      <c r="C57" s="4" t="s">
        <v>287</v>
      </c>
      <c r="D57" s="4" t="s">
        <v>288</v>
      </c>
      <c r="E57" s="4" t="s">
        <v>289</v>
      </c>
      <c r="F57" s="4" t="s">
        <v>290</v>
      </c>
      <c r="G57" s="4" t="s">
        <v>291</v>
      </c>
    </row>
    <row r="58" spans="1:7" x14ac:dyDescent="0.25">
      <c r="A58" s="4">
        <v>57</v>
      </c>
      <c r="B58" s="4" t="s">
        <v>286</v>
      </c>
      <c r="C58" s="4" t="s">
        <v>292</v>
      </c>
      <c r="D58" s="4" t="s">
        <v>293</v>
      </c>
      <c r="E58" s="4" t="s">
        <v>79</v>
      </c>
      <c r="F58" s="4" t="s">
        <v>294</v>
      </c>
      <c r="G58" s="4" t="s">
        <v>81</v>
      </c>
    </row>
    <row r="59" spans="1:7" x14ac:dyDescent="0.25">
      <c r="A59" s="4">
        <v>58</v>
      </c>
      <c r="B59" s="4" t="s">
        <v>286</v>
      </c>
      <c r="C59" s="4" t="s">
        <v>295</v>
      </c>
      <c r="D59" s="4" t="s">
        <v>296</v>
      </c>
      <c r="E59" s="4" t="s">
        <v>297</v>
      </c>
      <c r="F59" s="4" t="s">
        <v>298</v>
      </c>
      <c r="G59" s="4" t="s">
        <v>299</v>
      </c>
    </row>
    <row r="60" spans="1:7" x14ac:dyDescent="0.25">
      <c r="A60" s="4">
        <v>59</v>
      </c>
      <c r="B60" s="4" t="s">
        <v>286</v>
      </c>
      <c r="C60" s="4" t="s">
        <v>300</v>
      </c>
      <c r="D60" s="4" t="s">
        <v>301</v>
      </c>
      <c r="E60" s="4" t="s">
        <v>271</v>
      </c>
      <c r="F60" s="4" t="s">
        <v>302</v>
      </c>
      <c r="G60" s="4" t="s">
        <v>303</v>
      </c>
    </row>
    <row r="61" spans="1:7" ht="30" x14ac:dyDescent="0.25">
      <c r="A61" s="4">
        <v>60</v>
      </c>
      <c r="B61" s="4" t="s">
        <v>304</v>
      </c>
      <c r="C61" s="4" t="s">
        <v>305</v>
      </c>
      <c r="D61" s="4" t="s">
        <v>306</v>
      </c>
      <c r="E61" s="4" t="s">
        <v>307</v>
      </c>
      <c r="F61" s="4" t="s">
        <v>308</v>
      </c>
      <c r="G61" s="4" t="s">
        <v>309</v>
      </c>
    </row>
    <row r="62" spans="1:7" ht="30" x14ac:dyDescent="0.25">
      <c r="A62" s="4">
        <v>61</v>
      </c>
      <c r="B62" s="4" t="s">
        <v>304</v>
      </c>
      <c r="C62" s="4" t="s">
        <v>310</v>
      </c>
      <c r="D62" s="4" t="s">
        <v>311</v>
      </c>
      <c r="E62" s="4" t="s">
        <v>312</v>
      </c>
      <c r="F62" s="4" t="s">
        <v>313</v>
      </c>
      <c r="G62" s="4" t="s">
        <v>314</v>
      </c>
    </row>
    <row r="63" spans="1:7" ht="30" x14ac:dyDescent="0.25">
      <c r="A63" s="4">
        <v>62</v>
      </c>
      <c r="B63" s="4" t="s">
        <v>304</v>
      </c>
      <c r="C63" s="4" t="s">
        <v>315</v>
      </c>
      <c r="D63" s="4" t="s">
        <v>316</v>
      </c>
      <c r="E63" s="4" t="s">
        <v>317</v>
      </c>
      <c r="F63" s="4" t="s">
        <v>318</v>
      </c>
      <c r="G63" s="4" t="s">
        <v>319</v>
      </c>
    </row>
    <row r="64" spans="1:7" ht="30" x14ac:dyDescent="0.25">
      <c r="A64" s="4">
        <v>63</v>
      </c>
      <c r="B64" s="4" t="s">
        <v>304</v>
      </c>
      <c r="C64" s="4" t="s">
        <v>320</v>
      </c>
      <c r="D64" s="4" t="s">
        <v>321</v>
      </c>
      <c r="E64" s="4" t="s">
        <v>322</v>
      </c>
      <c r="F64" s="4" t="s">
        <v>323</v>
      </c>
      <c r="G64" s="4" t="s">
        <v>324</v>
      </c>
    </row>
    <row r="65" spans="1:7" ht="30" x14ac:dyDescent="0.25">
      <c r="A65" s="4">
        <v>64</v>
      </c>
      <c r="B65" s="4" t="s">
        <v>304</v>
      </c>
      <c r="C65" s="4" t="s">
        <v>325</v>
      </c>
      <c r="D65" s="4" t="s">
        <v>326</v>
      </c>
      <c r="E65" s="4" t="s">
        <v>327</v>
      </c>
      <c r="F65" s="4" t="s">
        <v>328</v>
      </c>
      <c r="G65" s="4" t="s">
        <v>329</v>
      </c>
    </row>
    <row r="66" spans="1:7" ht="30" x14ac:dyDescent="0.25">
      <c r="A66" s="4">
        <v>65</v>
      </c>
      <c r="B66" s="4" t="s">
        <v>304</v>
      </c>
      <c r="C66" s="4" t="s">
        <v>330</v>
      </c>
      <c r="D66" s="4" t="s">
        <v>331</v>
      </c>
      <c r="E66" s="4" t="s">
        <v>332</v>
      </c>
      <c r="F66" s="4" t="s">
        <v>333</v>
      </c>
      <c r="G66" s="4" t="s">
        <v>334</v>
      </c>
    </row>
    <row r="67" spans="1:7" ht="30" x14ac:dyDescent="0.25">
      <c r="A67" s="4">
        <v>66</v>
      </c>
      <c r="B67" s="4" t="s">
        <v>304</v>
      </c>
      <c r="C67" s="4" t="s">
        <v>335</v>
      </c>
      <c r="D67" s="4" t="s">
        <v>336</v>
      </c>
      <c r="E67" s="4" t="s">
        <v>337</v>
      </c>
      <c r="F67" s="4" t="s">
        <v>338</v>
      </c>
      <c r="G67" s="4" t="s">
        <v>339</v>
      </c>
    </row>
    <row r="68" spans="1:7" ht="30" x14ac:dyDescent="0.25">
      <c r="A68" s="4">
        <v>67</v>
      </c>
      <c r="B68" s="4" t="s">
        <v>304</v>
      </c>
      <c r="C68" s="4" t="s">
        <v>340</v>
      </c>
      <c r="D68" s="4" t="s">
        <v>341</v>
      </c>
      <c r="E68" s="4" t="s">
        <v>342</v>
      </c>
      <c r="F68" s="4" t="s">
        <v>343</v>
      </c>
      <c r="G68" s="4" t="s">
        <v>344</v>
      </c>
    </row>
    <row r="69" spans="1:7" ht="30" x14ac:dyDescent="0.25">
      <c r="A69" s="4">
        <v>68</v>
      </c>
      <c r="B69" s="4" t="s">
        <v>304</v>
      </c>
      <c r="C69" s="4" t="s">
        <v>345</v>
      </c>
      <c r="D69" s="4" t="s">
        <v>346</v>
      </c>
      <c r="E69" s="4" t="s">
        <v>95</v>
      </c>
      <c r="F69" s="4" t="s">
        <v>347</v>
      </c>
      <c r="G69" s="4" t="s">
        <v>348</v>
      </c>
    </row>
    <row r="70" spans="1:7" ht="30" x14ac:dyDescent="0.25">
      <c r="A70" s="4">
        <v>69</v>
      </c>
      <c r="B70" s="4" t="s">
        <v>304</v>
      </c>
      <c r="C70" s="4" t="s">
        <v>349</v>
      </c>
      <c r="D70" s="4" t="s">
        <v>350</v>
      </c>
      <c r="E70" s="4" t="s">
        <v>351</v>
      </c>
      <c r="F70" s="4" t="s">
        <v>352</v>
      </c>
      <c r="G70" s="4" t="s">
        <v>353</v>
      </c>
    </row>
    <row r="71" spans="1:7" ht="30" x14ac:dyDescent="0.25">
      <c r="A71" s="4">
        <v>70</v>
      </c>
      <c r="B71" s="4" t="s">
        <v>304</v>
      </c>
      <c r="C71" s="4" t="s">
        <v>354</v>
      </c>
      <c r="D71" s="4" t="s">
        <v>355</v>
      </c>
      <c r="E71" s="4" t="s">
        <v>356</v>
      </c>
      <c r="F71" s="4" t="s">
        <v>357</v>
      </c>
      <c r="G71" s="4" t="s">
        <v>358</v>
      </c>
    </row>
    <row r="72" spans="1:7" ht="30" x14ac:dyDescent="0.25">
      <c r="A72" s="4">
        <v>71</v>
      </c>
      <c r="B72" s="4" t="s">
        <v>304</v>
      </c>
      <c r="C72" s="4" t="s">
        <v>359</v>
      </c>
      <c r="D72" s="4" t="s">
        <v>360</v>
      </c>
      <c r="E72" s="4" t="s">
        <v>361</v>
      </c>
      <c r="F72" s="4" t="s">
        <v>362</v>
      </c>
      <c r="G72" s="4" t="s">
        <v>363</v>
      </c>
    </row>
    <row r="73" spans="1:7" ht="30" x14ac:dyDescent="0.25">
      <c r="A73" s="4">
        <v>72</v>
      </c>
      <c r="B73" s="4" t="s">
        <v>304</v>
      </c>
      <c r="C73" s="4" t="s">
        <v>364</v>
      </c>
      <c r="D73" s="4" t="s">
        <v>365</v>
      </c>
      <c r="E73" s="4" t="s">
        <v>366</v>
      </c>
      <c r="F73" s="4" t="s">
        <v>367</v>
      </c>
      <c r="G73" s="4" t="s">
        <v>368</v>
      </c>
    </row>
    <row r="74" spans="1:7" ht="30" x14ac:dyDescent="0.25">
      <c r="A74" s="4">
        <v>73</v>
      </c>
      <c r="B74" s="4" t="s">
        <v>304</v>
      </c>
      <c r="C74" s="4" t="s">
        <v>369</v>
      </c>
      <c r="D74" s="4" t="s">
        <v>217</v>
      </c>
      <c r="E74" s="4" t="s">
        <v>250</v>
      </c>
      <c r="F74" s="4" t="s">
        <v>370</v>
      </c>
      <c r="G74" s="4" t="s">
        <v>371</v>
      </c>
    </row>
    <row r="75" spans="1:7" ht="30" x14ac:dyDescent="0.25">
      <c r="A75" s="4">
        <v>74</v>
      </c>
      <c r="B75" s="4" t="s">
        <v>304</v>
      </c>
      <c r="C75" s="4" t="s">
        <v>372</v>
      </c>
      <c r="D75" s="4" t="s">
        <v>373</v>
      </c>
      <c r="E75" s="4" t="s">
        <v>374</v>
      </c>
      <c r="F75" s="4" t="s">
        <v>375</v>
      </c>
      <c r="G75" s="4" t="s">
        <v>376</v>
      </c>
    </row>
    <row r="76" spans="1:7" ht="30" x14ac:dyDescent="0.25">
      <c r="A76" s="4">
        <v>75</v>
      </c>
      <c r="B76" s="4" t="s">
        <v>304</v>
      </c>
      <c r="C76" s="4" t="s">
        <v>377</v>
      </c>
      <c r="D76" s="4" t="s">
        <v>378</v>
      </c>
      <c r="E76" s="4" t="s">
        <v>379</v>
      </c>
      <c r="F76" s="4" t="s">
        <v>380</v>
      </c>
      <c r="G76" s="4" t="s">
        <v>381</v>
      </c>
    </row>
    <row r="77" spans="1:7" ht="30" x14ac:dyDescent="0.25">
      <c r="A77" s="4">
        <v>76</v>
      </c>
      <c r="B77" s="4" t="s">
        <v>304</v>
      </c>
      <c r="C77" s="4" t="s">
        <v>382</v>
      </c>
      <c r="D77" s="4" t="s">
        <v>265</v>
      </c>
      <c r="E77" s="4" t="s">
        <v>383</v>
      </c>
      <c r="F77" s="4" t="s">
        <v>384</v>
      </c>
      <c r="G77" s="4" t="s">
        <v>385</v>
      </c>
    </row>
    <row r="78" spans="1:7" ht="30" x14ac:dyDescent="0.25">
      <c r="A78" s="4">
        <v>77</v>
      </c>
      <c r="B78" s="4" t="s">
        <v>304</v>
      </c>
      <c r="C78" s="4" t="s">
        <v>386</v>
      </c>
      <c r="D78" s="4" t="s">
        <v>387</v>
      </c>
      <c r="E78" s="4" t="s">
        <v>388</v>
      </c>
      <c r="F78" s="4" t="s">
        <v>389</v>
      </c>
      <c r="G78" s="4" t="s">
        <v>390</v>
      </c>
    </row>
    <row r="79" spans="1:7" ht="30" x14ac:dyDescent="0.25">
      <c r="A79" s="4">
        <v>78</v>
      </c>
      <c r="B79" s="4" t="s">
        <v>304</v>
      </c>
      <c r="C79" s="4" t="s">
        <v>391</v>
      </c>
      <c r="D79" s="4" t="s">
        <v>392</v>
      </c>
      <c r="E79" s="4" t="s">
        <v>393</v>
      </c>
      <c r="F79" s="4" t="s">
        <v>394</v>
      </c>
      <c r="G79" s="4" t="s">
        <v>395</v>
      </c>
    </row>
    <row r="80" spans="1:7" ht="30" x14ac:dyDescent="0.25">
      <c r="A80" s="4">
        <v>79</v>
      </c>
      <c r="B80" s="4" t="s">
        <v>304</v>
      </c>
      <c r="C80" s="4" t="s">
        <v>396</v>
      </c>
      <c r="D80" s="4" t="s">
        <v>119</v>
      </c>
      <c r="E80" s="4" t="s">
        <v>397</v>
      </c>
      <c r="F80" s="4" t="s">
        <v>398</v>
      </c>
      <c r="G80" s="4" t="s">
        <v>156</v>
      </c>
    </row>
    <row r="81" spans="1:7" ht="30" x14ac:dyDescent="0.25">
      <c r="A81" s="4">
        <v>80</v>
      </c>
      <c r="B81" s="4" t="s">
        <v>304</v>
      </c>
      <c r="C81" s="4" t="s">
        <v>399</v>
      </c>
      <c r="D81" s="4" t="s">
        <v>400</v>
      </c>
      <c r="E81" s="4" t="s">
        <v>401</v>
      </c>
      <c r="F81" s="4" t="s">
        <v>402</v>
      </c>
      <c r="G81" s="4" t="s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cols>
    <col min="1" max="1" width="28" customWidth="1"/>
    <col min="2" max="4" width="12" customWidth="1"/>
    <col min="5" max="5" width="60" customWidth="1"/>
  </cols>
  <sheetData>
    <row r="1" spans="1:5" ht="30" x14ac:dyDescent="0.25">
      <c r="A1" s="3" t="s">
        <v>404</v>
      </c>
      <c r="B1" s="3" t="s">
        <v>405</v>
      </c>
      <c r="C1" s="3" t="s">
        <v>406</v>
      </c>
      <c r="D1" s="3" t="s">
        <v>407</v>
      </c>
      <c r="E1" s="3" t="s">
        <v>408</v>
      </c>
    </row>
    <row r="2" spans="1:5" x14ac:dyDescent="0.25">
      <c r="A2" s="4" t="s">
        <v>409</v>
      </c>
      <c r="B2" s="4">
        <v>0.33</v>
      </c>
      <c r="C2" s="4">
        <v>0.66</v>
      </c>
      <c r="D2" s="4">
        <v>1</v>
      </c>
      <c r="E2" s="4" t="s">
        <v>410</v>
      </c>
    </row>
    <row r="3" spans="1:5" x14ac:dyDescent="0.25">
      <c r="A3" s="4" t="s">
        <v>411</v>
      </c>
      <c r="B3" s="4">
        <v>0</v>
      </c>
      <c r="C3" s="4">
        <v>0</v>
      </c>
      <c r="D3" s="4">
        <v>0.75</v>
      </c>
      <c r="E3" s="4" t="s">
        <v>412</v>
      </c>
    </row>
    <row r="4" spans="1:5" ht="30" x14ac:dyDescent="0.25">
      <c r="A4" s="4" t="s">
        <v>413</v>
      </c>
      <c r="B4" s="4">
        <v>0</v>
      </c>
      <c r="C4" s="4">
        <v>0.55000000000000004</v>
      </c>
      <c r="D4" s="4">
        <v>0.74</v>
      </c>
      <c r="E4" s="4" t="s">
        <v>414</v>
      </c>
    </row>
    <row r="5" spans="1:5" x14ac:dyDescent="0.25">
      <c r="A5" s="4" t="s">
        <v>415</v>
      </c>
      <c r="B5" s="4">
        <v>0</v>
      </c>
      <c r="C5" s="4">
        <v>0</v>
      </c>
      <c r="D5" s="4">
        <v>0.7</v>
      </c>
      <c r="E5" s="4" t="s">
        <v>416</v>
      </c>
    </row>
    <row r="6" spans="1:5" x14ac:dyDescent="0.25">
      <c r="A6" s="4" t="s">
        <v>417</v>
      </c>
      <c r="B6" s="4">
        <v>0</v>
      </c>
      <c r="C6" s="4">
        <v>0</v>
      </c>
      <c r="D6" s="4">
        <v>0.7</v>
      </c>
      <c r="E6" s="4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5" x14ac:dyDescent="0.25"/>
  <cols>
    <col min="1" max="2" width="14" customWidth="1"/>
    <col min="3" max="3" width="24" customWidth="1"/>
    <col min="4" max="4" width="110" customWidth="1"/>
    <col min="5" max="5" width="28" customWidth="1"/>
  </cols>
  <sheetData>
    <row r="1" spans="1:5" x14ac:dyDescent="0.25">
      <c r="A1" s="3" t="s">
        <v>418</v>
      </c>
      <c r="B1" s="3" t="s">
        <v>419</v>
      </c>
      <c r="C1" s="3" t="s">
        <v>420</v>
      </c>
      <c r="D1" s="3" t="s">
        <v>421</v>
      </c>
      <c r="E1" s="11" t="s">
        <v>422</v>
      </c>
    </row>
    <row r="2" spans="1:5" x14ac:dyDescent="0.25">
      <c r="A2" s="4" t="s">
        <v>423</v>
      </c>
      <c r="B2" s="4" t="s">
        <v>424</v>
      </c>
      <c r="C2" s="4" t="s">
        <v>425</v>
      </c>
      <c r="D2" s="4" t="s">
        <v>426</v>
      </c>
      <c r="E2" s="12" t="str">
        <f t="shared" ref="E2:E13" si="0">A2&amp;"|"&amp;B2</f>
        <v>Driver|Analyst</v>
      </c>
    </row>
    <row r="3" spans="1:5" x14ac:dyDescent="0.25">
      <c r="A3" s="4" t="s">
        <v>423</v>
      </c>
      <c r="B3" s="4" t="s">
        <v>427</v>
      </c>
      <c r="C3" s="4" t="s">
        <v>428</v>
      </c>
      <c r="D3" s="4" t="s">
        <v>429</v>
      </c>
      <c r="E3" s="12" t="str">
        <f t="shared" si="0"/>
        <v>Driver|Influencer</v>
      </c>
    </row>
    <row r="4" spans="1:5" ht="30" x14ac:dyDescent="0.25">
      <c r="A4" s="4" t="s">
        <v>423</v>
      </c>
      <c r="B4" s="4" t="s">
        <v>430</v>
      </c>
      <c r="C4" s="4" t="s">
        <v>431</v>
      </c>
      <c r="D4" s="4" t="s">
        <v>432</v>
      </c>
      <c r="E4" s="12" t="str">
        <f t="shared" si="0"/>
        <v>Driver|Operator</v>
      </c>
    </row>
    <row r="5" spans="1:5" x14ac:dyDescent="0.25">
      <c r="A5" s="4" t="s">
        <v>427</v>
      </c>
      <c r="B5" s="4" t="s">
        <v>423</v>
      </c>
      <c r="C5" s="4" t="s">
        <v>433</v>
      </c>
      <c r="D5" s="4" t="s">
        <v>434</v>
      </c>
      <c r="E5" s="12" t="str">
        <f t="shared" si="0"/>
        <v>Influencer|Driver</v>
      </c>
    </row>
    <row r="6" spans="1:5" x14ac:dyDescent="0.25">
      <c r="A6" s="4" t="s">
        <v>427</v>
      </c>
      <c r="B6" s="4" t="s">
        <v>430</v>
      </c>
      <c r="C6" s="4" t="s">
        <v>435</v>
      </c>
      <c r="D6" s="4" t="s">
        <v>436</v>
      </c>
      <c r="E6" s="12" t="str">
        <f t="shared" si="0"/>
        <v>Influencer|Operator</v>
      </c>
    </row>
    <row r="7" spans="1:5" ht="30" x14ac:dyDescent="0.25">
      <c r="A7" s="4" t="s">
        <v>427</v>
      </c>
      <c r="B7" s="4" t="s">
        <v>424</v>
      </c>
      <c r="C7" s="4" t="s">
        <v>437</v>
      </c>
      <c r="D7" s="4" t="s">
        <v>438</v>
      </c>
      <c r="E7" s="12" t="str">
        <f t="shared" si="0"/>
        <v>Influencer|Analyst</v>
      </c>
    </row>
    <row r="8" spans="1:5" x14ac:dyDescent="0.25">
      <c r="A8" s="4" t="s">
        <v>424</v>
      </c>
      <c r="B8" s="4" t="s">
        <v>423</v>
      </c>
      <c r="C8" s="4" t="s">
        <v>439</v>
      </c>
      <c r="D8" s="4" t="s">
        <v>440</v>
      </c>
      <c r="E8" s="12" t="str">
        <f t="shared" si="0"/>
        <v>Analyst|Driver</v>
      </c>
    </row>
    <row r="9" spans="1:5" x14ac:dyDescent="0.25">
      <c r="A9" s="4" t="s">
        <v>424</v>
      </c>
      <c r="B9" s="4" t="s">
        <v>430</v>
      </c>
      <c r="C9" s="4" t="s">
        <v>441</v>
      </c>
      <c r="D9" s="4" t="s">
        <v>442</v>
      </c>
      <c r="E9" s="12" t="str">
        <f t="shared" si="0"/>
        <v>Analyst|Operator</v>
      </c>
    </row>
    <row r="10" spans="1:5" ht="30" x14ac:dyDescent="0.25">
      <c r="A10" s="4" t="s">
        <v>430</v>
      </c>
      <c r="B10" s="4" t="s">
        <v>423</v>
      </c>
      <c r="C10" s="4" t="s">
        <v>443</v>
      </c>
      <c r="D10" s="4" t="s">
        <v>444</v>
      </c>
      <c r="E10" s="12" t="str">
        <f t="shared" si="0"/>
        <v>Operator|Driver</v>
      </c>
    </row>
    <row r="11" spans="1:5" x14ac:dyDescent="0.25">
      <c r="A11" s="4" t="s">
        <v>430</v>
      </c>
      <c r="B11" s="4" t="s">
        <v>427</v>
      </c>
      <c r="C11" s="4" t="s">
        <v>445</v>
      </c>
      <c r="D11" s="4" t="s">
        <v>446</v>
      </c>
      <c r="E11" s="12" t="str">
        <f t="shared" si="0"/>
        <v>Operator|Influencer</v>
      </c>
    </row>
    <row r="12" spans="1:5" x14ac:dyDescent="0.25">
      <c r="A12" s="4" t="s">
        <v>430</v>
      </c>
      <c r="B12" s="4" t="s">
        <v>424</v>
      </c>
      <c r="C12" s="4" t="s">
        <v>447</v>
      </c>
      <c r="D12" s="4" t="s">
        <v>448</v>
      </c>
      <c r="E12" s="12" t="str">
        <f t="shared" si="0"/>
        <v>Operator|Analyst</v>
      </c>
    </row>
    <row r="13" spans="1:5" x14ac:dyDescent="0.25">
      <c r="A13" s="4" t="s">
        <v>424</v>
      </c>
      <c r="B13" s="4" t="s">
        <v>427</v>
      </c>
      <c r="C13" s="4" t="s">
        <v>449</v>
      </c>
      <c r="D13" s="4" t="s">
        <v>450</v>
      </c>
      <c r="E13" s="12" t="str">
        <f t="shared" si="0"/>
        <v>Analyst|Influencer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/>
  </sheetViews>
  <sheetFormatPr defaultRowHeight="15" x14ac:dyDescent="0.25"/>
  <cols>
    <col min="1" max="2" width="18" customWidth="1"/>
    <col min="3" max="3" width="10" customWidth="1"/>
    <col min="4" max="4" width="110" customWidth="1"/>
    <col min="5" max="5" width="42" customWidth="1"/>
  </cols>
  <sheetData>
    <row r="1" spans="1:5" x14ac:dyDescent="0.25">
      <c r="A1" s="3" t="s">
        <v>451</v>
      </c>
      <c r="B1" s="3" t="s">
        <v>452</v>
      </c>
      <c r="C1" s="3" t="s">
        <v>453</v>
      </c>
      <c r="D1" s="3" t="s">
        <v>454</v>
      </c>
      <c r="E1" s="11" t="s">
        <v>422</v>
      </c>
    </row>
    <row r="2" spans="1:5" x14ac:dyDescent="0.25">
      <c r="A2" s="4" t="s">
        <v>455</v>
      </c>
      <c r="B2" s="4" t="s">
        <v>423</v>
      </c>
      <c r="C2" s="4" t="s">
        <v>456</v>
      </c>
      <c r="D2" s="4" t="s">
        <v>457</v>
      </c>
      <c r="E2" s="12" t="str">
        <f t="shared" ref="E2:E26" si="0">A2&amp;"|"&amp;B2&amp;"|"&amp;C2</f>
        <v>Core Identity|Driver|High</v>
      </c>
    </row>
    <row r="3" spans="1:5" x14ac:dyDescent="0.25">
      <c r="A3" s="4" t="s">
        <v>455</v>
      </c>
      <c r="B3" s="4" t="s">
        <v>427</v>
      </c>
      <c r="C3" s="4" t="s">
        <v>456</v>
      </c>
      <c r="D3" s="4" t="s">
        <v>458</v>
      </c>
      <c r="E3" s="12" t="str">
        <f t="shared" si="0"/>
        <v>Core Identity|Influencer|High</v>
      </c>
    </row>
    <row r="4" spans="1:5" x14ac:dyDescent="0.25">
      <c r="A4" s="4" t="s">
        <v>455</v>
      </c>
      <c r="B4" s="4" t="s">
        <v>430</v>
      </c>
      <c r="C4" s="4" t="s">
        <v>456</v>
      </c>
      <c r="D4" s="4" t="s">
        <v>459</v>
      </c>
      <c r="E4" s="12" t="str">
        <f t="shared" si="0"/>
        <v>Core Identity|Operator|High</v>
      </c>
    </row>
    <row r="5" spans="1:5" x14ac:dyDescent="0.25">
      <c r="A5" s="4" t="s">
        <v>455</v>
      </c>
      <c r="B5" s="4" t="s">
        <v>424</v>
      </c>
      <c r="C5" s="4" t="s">
        <v>456</v>
      </c>
      <c r="D5" s="4" t="s">
        <v>460</v>
      </c>
      <c r="E5" s="12" t="str">
        <f t="shared" si="0"/>
        <v>Core Identity|Analyst|High</v>
      </c>
    </row>
    <row r="6" spans="1:5" x14ac:dyDescent="0.25">
      <c r="A6" s="4" t="s">
        <v>461</v>
      </c>
      <c r="B6" s="4" t="s">
        <v>94</v>
      </c>
      <c r="C6" s="4" t="s">
        <v>456</v>
      </c>
      <c r="D6" s="4" t="s">
        <v>462</v>
      </c>
      <c r="E6" s="12" t="str">
        <f t="shared" si="0"/>
        <v>How You Operate|Achievement|High</v>
      </c>
    </row>
    <row r="7" spans="1:5" x14ac:dyDescent="0.25">
      <c r="A7" s="4" t="s">
        <v>461</v>
      </c>
      <c r="B7" s="4" t="s">
        <v>95</v>
      </c>
      <c r="C7" s="4" t="s">
        <v>456</v>
      </c>
      <c r="D7" s="4" t="s">
        <v>463</v>
      </c>
      <c r="E7" s="12" t="str">
        <f t="shared" si="0"/>
        <v>How You Operate|Influence|High</v>
      </c>
    </row>
    <row r="8" spans="1:5" x14ac:dyDescent="0.25">
      <c r="A8" s="4" t="s">
        <v>461</v>
      </c>
      <c r="B8" s="4" t="s">
        <v>96</v>
      </c>
      <c r="C8" s="4" t="s">
        <v>456</v>
      </c>
      <c r="D8" s="4" t="s">
        <v>464</v>
      </c>
      <c r="E8" s="12" t="str">
        <f t="shared" si="0"/>
        <v>How You Operate|Stability|High</v>
      </c>
    </row>
    <row r="9" spans="1:5" x14ac:dyDescent="0.25">
      <c r="A9" s="4" t="s">
        <v>461</v>
      </c>
      <c r="B9" s="4" t="s">
        <v>97</v>
      </c>
      <c r="C9" s="4" t="s">
        <v>456</v>
      </c>
      <c r="D9" s="4" t="s">
        <v>465</v>
      </c>
      <c r="E9" s="12" t="str">
        <f t="shared" si="0"/>
        <v>How You Operate|Mastery|High</v>
      </c>
    </row>
    <row r="10" spans="1:5" x14ac:dyDescent="0.25">
      <c r="A10" s="4" t="s">
        <v>466</v>
      </c>
      <c r="B10" s="4" t="s">
        <v>114</v>
      </c>
      <c r="C10" s="4" t="s">
        <v>456</v>
      </c>
      <c r="D10" s="4" t="s">
        <v>467</v>
      </c>
      <c r="E10" s="12" t="str">
        <f t="shared" si="0"/>
        <v>Leadership|Results|High</v>
      </c>
    </row>
    <row r="11" spans="1:5" x14ac:dyDescent="0.25">
      <c r="A11" s="4" t="s">
        <v>466</v>
      </c>
      <c r="B11" s="4" t="s">
        <v>468</v>
      </c>
      <c r="C11" s="4" t="s">
        <v>456</v>
      </c>
      <c r="D11" s="4" t="s">
        <v>469</v>
      </c>
      <c r="E11" s="12" t="str">
        <f t="shared" si="0"/>
        <v>Leadership|Vision|High</v>
      </c>
    </row>
    <row r="12" spans="1:5" x14ac:dyDescent="0.25">
      <c r="A12" s="4" t="s">
        <v>466</v>
      </c>
      <c r="B12" s="4" t="s">
        <v>230</v>
      </c>
      <c r="C12" s="4" t="s">
        <v>456</v>
      </c>
      <c r="D12" s="4" t="s">
        <v>470</v>
      </c>
      <c r="E12" s="12" t="str">
        <f t="shared" si="0"/>
        <v>Leadership|People|High</v>
      </c>
    </row>
    <row r="13" spans="1:5" x14ac:dyDescent="0.25">
      <c r="A13" s="4" t="s">
        <v>466</v>
      </c>
      <c r="B13" s="4" t="s">
        <v>471</v>
      </c>
      <c r="C13" s="4" t="s">
        <v>456</v>
      </c>
      <c r="D13" s="4" t="s">
        <v>472</v>
      </c>
      <c r="E13" s="12" t="str">
        <f t="shared" si="0"/>
        <v>Leadership|Process|High</v>
      </c>
    </row>
    <row r="14" spans="1:5" x14ac:dyDescent="0.25">
      <c r="A14" s="4" t="s">
        <v>473</v>
      </c>
      <c r="B14" s="4" t="s">
        <v>109</v>
      </c>
      <c r="C14" s="4" t="s">
        <v>456</v>
      </c>
      <c r="D14" s="4" t="s">
        <v>474</v>
      </c>
      <c r="E14" s="12" t="str">
        <f t="shared" si="0"/>
        <v>Conflict|Compete|High</v>
      </c>
    </row>
    <row r="15" spans="1:5" x14ac:dyDescent="0.25">
      <c r="A15" s="4" t="s">
        <v>473</v>
      </c>
      <c r="B15" s="4" t="s">
        <v>475</v>
      </c>
      <c r="C15" s="4" t="s">
        <v>456</v>
      </c>
      <c r="D15" s="4" t="s">
        <v>476</v>
      </c>
      <c r="E15" s="12" t="str">
        <f t="shared" si="0"/>
        <v>Conflict|Collaborate|High</v>
      </c>
    </row>
    <row r="16" spans="1:5" x14ac:dyDescent="0.25">
      <c r="A16" s="4" t="s">
        <v>473</v>
      </c>
      <c r="B16" s="4" t="s">
        <v>160</v>
      </c>
      <c r="C16" s="4" t="s">
        <v>456</v>
      </c>
      <c r="D16" s="4" t="s">
        <v>477</v>
      </c>
      <c r="E16" s="12" t="str">
        <f t="shared" si="0"/>
        <v>Conflict|Compromise|High</v>
      </c>
    </row>
    <row r="17" spans="1:5" x14ac:dyDescent="0.25">
      <c r="A17" s="4" t="s">
        <v>473</v>
      </c>
      <c r="B17" s="4" t="s">
        <v>478</v>
      </c>
      <c r="C17" s="4" t="s">
        <v>456</v>
      </c>
      <c r="D17" s="4" t="s">
        <v>479</v>
      </c>
      <c r="E17" s="12" t="str">
        <f t="shared" si="0"/>
        <v>Conflict|Accommodate|High</v>
      </c>
    </row>
    <row r="18" spans="1:5" x14ac:dyDescent="0.25">
      <c r="A18" s="4" t="s">
        <v>473</v>
      </c>
      <c r="B18" s="4" t="s">
        <v>480</v>
      </c>
      <c r="C18" s="4" t="s">
        <v>456</v>
      </c>
      <c r="D18" s="4" t="s">
        <v>481</v>
      </c>
      <c r="E18" s="12" t="str">
        <f t="shared" si="0"/>
        <v>Conflict|Avoid|High</v>
      </c>
    </row>
    <row r="19" spans="1:5" x14ac:dyDescent="0.25">
      <c r="A19" s="4" t="s">
        <v>482</v>
      </c>
      <c r="B19" s="4" t="s">
        <v>483</v>
      </c>
      <c r="C19" s="4" t="s">
        <v>456</v>
      </c>
      <c r="D19" s="4" t="s">
        <v>484</v>
      </c>
      <c r="E19" s="12" t="str">
        <f t="shared" si="0"/>
        <v>Pressure|Control|High</v>
      </c>
    </row>
    <row r="20" spans="1:5" x14ac:dyDescent="0.25">
      <c r="A20" s="4" t="s">
        <v>482</v>
      </c>
      <c r="B20" s="4" t="s">
        <v>485</v>
      </c>
      <c r="C20" s="4" t="s">
        <v>456</v>
      </c>
      <c r="D20" s="4" t="s">
        <v>486</v>
      </c>
      <c r="E20" s="12" t="str">
        <f t="shared" si="0"/>
        <v>Pressure|Scatter|High</v>
      </c>
    </row>
    <row r="21" spans="1:5" x14ac:dyDescent="0.25">
      <c r="A21" s="4" t="s">
        <v>482</v>
      </c>
      <c r="B21" s="4" t="s">
        <v>183</v>
      </c>
      <c r="C21" s="4" t="s">
        <v>456</v>
      </c>
      <c r="D21" s="4" t="s">
        <v>487</v>
      </c>
      <c r="E21" s="12" t="str">
        <f t="shared" si="0"/>
        <v>Pressure|Avoidance|High</v>
      </c>
    </row>
    <row r="22" spans="1:5" x14ac:dyDescent="0.25">
      <c r="A22" s="4" t="s">
        <v>482</v>
      </c>
      <c r="B22" s="4" t="s">
        <v>488</v>
      </c>
      <c r="C22" s="4" t="s">
        <v>456</v>
      </c>
      <c r="D22" s="4" t="s">
        <v>489</v>
      </c>
      <c r="E22" s="12" t="str">
        <f t="shared" si="0"/>
        <v>Pressure|Criticality|High</v>
      </c>
    </row>
    <row r="23" spans="1:5" x14ac:dyDescent="0.25">
      <c r="A23" s="4" t="s">
        <v>490</v>
      </c>
      <c r="B23" s="4" t="s">
        <v>491</v>
      </c>
      <c r="C23" s="4" t="s">
        <v>456</v>
      </c>
      <c r="D23" s="4" t="s">
        <v>492</v>
      </c>
      <c r="E23" s="12" t="str">
        <f t="shared" si="0"/>
        <v>Culture|Market|High</v>
      </c>
    </row>
    <row r="24" spans="1:5" x14ac:dyDescent="0.25">
      <c r="A24" s="4" t="s">
        <v>490</v>
      </c>
      <c r="B24" s="4" t="s">
        <v>493</v>
      </c>
      <c r="C24" s="4" t="s">
        <v>456</v>
      </c>
      <c r="D24" s="4" t="s">
        <v>494</v>
      </c>
      <c r="E24" s="12" t="str">
        <f t="shared" si="0"/>
        <v>Culture|Adhocracy|High</v>
      </c>
    </row>
    <row r="25" spans="1:5" x14ac:dyDescent="0.25">
      <c r="A25" s="4" t="s">
        <v>490</v>
      </c>
      <c r="B25" s="4" t="s">
        <v>495</v>
      </c>
      <c r="C25" s="4" t="s">
        <v>456</v>
      </c>
      <c r="D25" s="4" t="s">
        <v>496</v>
      </c>
      <c r="E25" s="12" t="str">
        <f t="shared" si="0"/>
        <v>Culture|Clan|High</v>
      </c>
    </row>
    <row r="26" spans="1:5" x14ac:dyDescent="0.25">
      <c r="A26" s="4" t="s">
        <v>490</v>
      </c>
      <c r="B26" s="4" t="s">
        <v>497</v>
      </c>
      <c r="C26" s="4" t="s">
        <v>456</v>
      </c>
      <c r="D26" s="4" t="s">
        <v>498</v>
      </c>
      <c r="E26" s="12" t="str">
        <f t="shared" si="0"/>
        <v>Culture|Hierarchy|High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cols>
    <col min="1" max="1" width="16" customWidth="1"/>
    <col min="2" max="2" width="42" customWidth="1"/>
    <col min="3" max="3" width="110" customWidth="1"/>
  </cols>
  <sheetData>
    <row r="1" spans="1:3" x14ac:dyDescent="0.25">
      <c r="A1" s="3" t="s">
        <v>499</v>
      </c>
      <c r="B1" s="3" t="s">
        <v>500</v>
      </c>
      <c r="C1" s="3" t="s">
        <v>501</v>
      </c>
    </row>
    <row r="2" spans="1:3" x14ac:dyDescent="0.25">
      <c r="A2" s="4" t="s">
        <v>502</v>
      </c>
      <c r="B2" s="4" t="s">
        <v>503</v>
      </c>
      <c r="C2" s="4" t="s">
        <v>504</v>
      </c>
    </row>
    <row r="3" spans="1:3" ht="30" x14ac:dyDescent="0.25">
      <c r="A3" s="4" t="s">
        <v>502</v>
      </c>
      <c r="B3" s="4" t="s">
        <v>505</v>
      </c>
      <c r="C3" s="4" t="s">
        <v>506</v>
      </c>
    </row>
    <row r="4" spans="1:3" x14ac:dyDescent="0.25">
      <c r="A4" s="4" t="s">
        <v>507</v>
      </c>
      <c r="B4" s="4" t="s">
        <v>508</v>
      </c>
      <c r="C4" s="4" t="s">
        <v>509</v>
      </c>
    </row>
    <row r="5" spans="1:3" x14ac:dyDescent="0.25">
      <c r="A5" s="4" t="s">
        <v>507</v>
      </c>
      <c r="B5" s="4" t="s">
        <v>510</v>
      </c>
      <c r="C5" s="4" t="s">
        <v>511</v>
      </c>
    </row>
    <row r="6" spans="1:3" x14ac:dyDescent="0.25">
      <c r="A6" s="4" t="s">
        <v>507</v>
      </c>
      <c r="B6" s="4" t="s">
        <v>512</v>
      </c>
      <c r="C6" s="4" t="s">
        <v>513</v>
      </c>
    </row>
    <row r="7" spans="1:3" x14ac:dyDescent="0.25">
      <c r="A7" s="4" t="s">
        <v>507</v>
      </c>
      <c r="B7" s="4" t="s">
        <v>514</v>
      </c>
      <c r="C7" s="4" t="s">
        <v>515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21"/>
  <sheetViews>
    <sheetView workbookViewId="0"/>
  </sheetViews>
  <sheetFormatPr defaultRowHeight="15" x14ac:dyDescent="0.25"/>
  <cols>
    <col min="1" max="2" width="8" customWidth="1"/>
    <col min="3" max="3" width="10" customWidth="1"/>
    <col min="4" max="4" width="42" customWidth="1"/>
    <col min="5" max="5" width="12" customWidth="1"/>
    <col min="6" max="38" width="13" customWidth="1"/>
  </cols>
  <sheetData>
    <row r="1" spans="1:38" ht="60" x14ac:dyDescent="0.25">
      <c r="A1" s="3" t="s">
        <v>11</v>
      </c>
      <c r="B1" s="3" t="s">
        <v>516</v>
      </c>
      <c r="C1" s="3" t="s">
        <v>422</v>
      </c>
      <c r="D1" s="3" t="s">
        <v>517</v>
      </c>
      <c r="E1" s="3" t="s">
        <v>518</v>
      </c>
      <c r="F1" s="3" t="s">
        <v>519</v>
      </c>
      <c r="G1" s="3" t="s">
        <v>520</v>
      </c>
      <c r="H1" s="3" t="s">
        <v>521</v>
      </c>
      <c r="I1" s="3" t="s">
        <v>522</v>
      </c>
      <c r="J1" s="3" t="s">
        <v>523</v>
      </c>
      <c r="K1" s="3" t="s">
        <v>524</v>
      </c>
      <c r="L1" s="3" t="s">
        <v>525</v>
      </c>
      <c r="M1" s="3" t="s">
        <v>526</v>
      </c>
      <c r="N1" s="3" t="s">
        <v>527</v>
      </c>
      <c r="O1" s="3" t="s">
        <v>528</v>
      </c>
      <c r="P1" s="3" t="s">
        <v>529</v>
      </c>
      <c r="Q1" s="3" t="s">
        <v>530</v>
      </c>
      <c r="R1" s="3" t="s">
        <v>531</v>
      </c>
      <c r="S1" s="3" t="s">
        <v>532</v>
      </c>
      <c r="T1" s="3" t="s">
        <v>533</v>
      </c>
      <c r="U1" s="3" t="s">
        <v>534</v>
      </c>
      <c r="V1" s="3" t="s">
        <v>535</v>
      </c>
      <c r="W1" s="3" t="s">
        <v>536</v>
      </c>
      <c r="X1" s="3" t="s">
        <v>537</v>
      </c>
      <c r="Y1" s="3" t="s">
        <v>538</v>
      </c>
      <c r="Z1" s="3" t="s">
        <v>539</v>
      </c>
      <c r="AA1" s="3" t="s">
        <v>540</v>
      </c>
      <c r="AB1" s="3" t="s">
        <v>541</v>
      </c>
      <c r="AC1" s="3" t="s">
        <v>542</v>
      </c>
      <c r="AD1" s="3" t="s">
        <v>543</v>
      </c>
      <c r="AE1" s="3" t="s">
        <v>544</v>
      </c>
      <c r="AF1" s="3" t="s">
        <v>545</v>
      </c>
      <c r="AG1" s="3" t="s">
        <v>546</v>
      </c>
      <c r="AH1" s="3" t="s">
        <v>547</v>
      </c>
      <c r="AI1" s="3" t="s">
        <v>548</v>
      </c>
      <c r="AJ1" s="3" t="s">
        <v>549</v>
      </c>
      <c r="AK1" s="3" t="s">
        <v>550</v>
      </c>
      <c r="AL1" s="3" t="s">
        <v>551</v>
      </c>
    </row>
    <row r="2" spans="1:38" x14ac:dyDescent="0.25">
      <c r="A2" s="4">
        <v>1</v>
      </c>
      <c r="B2" s="4" t="s">
        <v>552</v>
      </c>
      <c r="C2" s="4" t="s">
        <v>553</v>
      </c>
      <c r="D2" s="4" t="s">
        <v>17</v>
      </c>
      <c r="E2" s="4">
        <v>0</v>
      </c>
      <c r="F2" s="4">
        <v>3</v>
      </c>
      <c r="G2" s="4">
        <v>0</v>
      </c>
      <c r="H2" s="4">
        <v>0</v>
      </c>
      <c r="I2" s="4">
        <v>0</v>
      </c>
      <c r="J2" s="4">
        <v>0.5</v>
      </c>
      <c r="K2" s="4">
        <v>0</v>
      </c>
      <c r="L2" s="4">
        <v>0</v>
      </c>
      <c r="M2" s="4">
        <v>0</v>
      </c>
      <c r="N2" s="4">
        <v>0.5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</row>
    <row r="3" spans="1:38" x14ac:dyDescent="0.25">
      <c r="A3" s="4">
        <v>1</v>
      </c>
      <c r="B3" s="4" t="s">
        <v>554</v>
      </c>
      <c r="C3" s="4" t="s">
        <v>555</v>
      </c>
      <c r="D3" s="4" t="s">
        <v>17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0</v>
      </c>
      <c r="K3" s="4">
        <v>0.5</v>
      </c>
      <c r="L3" s="4">
        <v>0</v>
      </c>
      <c r="M3" s="4">
        <v>0</v>
      </c>
      <c r="N3" s="4">
        <v>0</v>
      </c>
      <c r="O3" s="4">
        <v>0.5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</row>
    <row r="4" spans="1:38" x14ac:dyDescent="0.25">
      <c r="A4" s="4">
        <v>1</v>
      </c>
      <c r="B4" s="4" t="s">
        <v>556</v>
      </c>
      <c r="C4" s="4" t="s">
        <v>557</v>
      </c>
      <c r="D4" s="4" t="s">
        <v>17</v>
      </c>
      <c r="E4" s="4">
        <v>0</v>
      </c>
      <c r="F4" s="4">
        <v>0</v>
      </c>
      <c r="G4" s="4">
        <v>0</v>
      </c>
      <c r="H4" s="4">
        <v>3</v>
      </c>
      <c r="I4" s="4">
        <v>0</v>
      </c>
      <c r="J4" s="4">
        <v>0</v>
      </c>
      <c r="K4" s="4">
        <v>0</v>
      </c>
      <c r="L4" s="4">
        <v>0.5</v>
      </c>
      <c r="M4" s="4">
        <v>0</v>
      </c>
      <c r="N4" s="4">
        <v>0</v>
      </c>
      <c r="O4" s="4">
        <v>0</v>
      </c>
      <c r="P4" s="4">
        <v>0.5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</row>
    <row r="5" spans="1:38" x14ac:dyDescent="0.25">
      <c r="A5" s="4">
        <v>1</v>
      </c>
      <c r="B5" s="4" t="s">
        <v>558</v>
      </c>
      <c r="C5" s="4" t="s">
        <v>559</v>
      </c>
      <c r="D5" s="4" t="s">
        <v>17</v>
      </c>
      <c r="E5" s="4">
        <v>0</v>
      </c>
      <c r="F5" s="4">
        <v>0</v>
      </c>
      <c r="G5" s="4">
        <v>0</v>
      </c>
      <c r="H5" s="4">
        <v>0</v>
      </c>
      <c r="I5" s="4">
        <v>3</v>
      </c>
      <c r="J5" s="4">
        <v>0</v>
      </c>
      <c r="K5" s="4">
        <v>0</v>
      </c>
      <c r="L5" s="4">
        <v>0</v>
      </c>
      <c r="M5" s="4">
        <v>0.5</v>
      </c>
      <c r="N5" s="4">
        <v>0</v>
      </c>
      <c r="O5" s="4">
        <v>0</v>
      </c>
      <c r="P5" s="4">
        <v>0</v>
      </c>
      <c r="Q5" s="4">
        <v>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</row>
    <row r="6" spans="1:38" x14ac:dyDescent="0.25">
      <c r="A6" s="4">
        <v>2</v>
      </c>
      <c r="B6" s="4" t="s">
        <v>552</v>
      </c>
      <c r="C6" s="4" t="s">
        <v>560</v>
      </c>
      <c r="D6" s="4" t="s">
        <v>22</v>
      </c>
      <c r="E6" s="4">
        <v>0</v>
      </c>
      <c r="F6" s="4">
        <v>3</v>
      </c>
      <c r="G6" s="4">
        <v>0</v>
      </c>
      <c r="H6" s="4">
        <v>0</v>
      </c>
      <c r="I6" s="4">
        <v>0</v>
      </c>
      <c r="J6" s="4">
        <v>0.5</v>
      </c>
      <c r="K6" s="4">
        <v>0</v>
      </c>
      <c r="L6" s="4">
        <v>0</v>
      </c>
      <c r="M6" s="4">
        <v>0</v>
      </c>
      <c r="N6" s="4">
        <v>0.5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</row>
    <row r="7" spans="1:38" x14ac:dyDescent="0.25">
      <c r="A7" s="4">
        <v>2</v>
      </c>
      <c r="B7" s="4" t="s">
        <v>554</v>
      </c>
      <c r="C7" s="4" t="s">
        <v>561</v>
      </c>
      <c r="D7" s="4" t="s">
        <v>22</v>
      </c>
      <c r="E7" s="4">
        <v>0</v>
      </c>
      <c r="F7" s="4">
        <v>0</v>
      </c>
      <c r="G7" s="4">
        <v>3</v>
      </c>
      <c r="H7" s="4">
        <v>0</v>
      </c>
      <c r="I7" s="4">
        <v>0</v>
      </c>
      <c r="J7" s="4">
        <v>0</v>
      </c>
      <c r="K7" s="4">
        <v>0.5</v>
      </c>
      <c r="L7" s="4">
        <v>0</v>
      </c>
      <c r="M7" s="4">
        <v>0</v>
      </c>
      <c r="N7" s="4">
        <v>0</v>
      </c>
      <c r="O7" s="4">
        <v>0.5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</row>
    <row r="8" spans="1:38" x14ac:dyDescent="0.25">
      <c r="A8" s="4">
        <v>2</v>
      </c>
      <c r="B8" s="4" t="s">
        <v>556</v>
      </c>
      <c r="C8" s="4" t="s">
        <v>562</v>
      </c>
      <c r="D8" s="4" t="s">
        <v>22</v>
      </c>
      <c r="E8" s="4">
        <v>0</v>
      </c>
      <c r="F8" s="4">
        <v>0</v>
      </c>
      <c r="G8" s="4">
        <v>0</v>
      </c>
      <c r="H8" s="4">
        <v>3</v>
      </c>
      <c r="I8" s="4">
        <v>0</v>
      </c>
      <c r="J8" s="4">
        <v>0</v>
      </c>
      <c r="K8" s="4">
        <v>0</v>
      </c>
      <c r="L8" s="4">
        <v>0.5</v>
      </c>
      <c r="M8" s="4">
        <v>0</v>
      </c>
      <c r="N8" s="4">
        <v>0</v>
      </c>
      <c r="O8" s="4">
        <v>0</v>
      </c>
      <c r="P8" s="4">
        <v>0.5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</row>
    <row r="9" spans="1:38" x14ac:dyDescent="0.25">
      <c r="A9" s="4">
        <v>2</v>
      </c>
      <c r="B9" s="4" t="s">
        <v>558</v>
      </c>
      <c r="C9" s="4" t="s">
        <v>563</v>
      </c>
      <c r="D9" s="4" t="s">
        <v>22</v>
      </c>
      <c r="E9" s="4">
        <v>0</v>
      </c>
      <c r="F9" s="4">
        <v>0</v>
      </c>
      <c r="G9" s="4">
        <v>0</v>
      </c>
      <c r="H9" s="4">
        <v>0</v>
      </c>
      <c r="I9" s="4">
        <v>3</v>
      </c>
      <c r="J9" s="4">
        <v>0</v>
      </c>
      <c r="K9" s="4">
        <v>0</v>
      </c>
      <c r="L9" s="4">
        <v>0</v>
      </c>
      <c r="M9" s="4">
        <v>0.5</v>
      </c>
      <c r="N9" s="4">
        <v>0</v>
      </c>
      <c r="O9" s="4">
        <v>0</v>
      </c>
      <c r="P9" s="4">
        <v>0</v>
      </c>
      <c r="Q9" s="4">
        <v>0.5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</row>
    <row r="10" spans="1:38" x14ac:dyDescent="0.25">
      <c r="A10" s="4">
        <v>3</v>
      </c>
      <c r="B10" s="4" t="s">
        <v>552</v>
      </c>
      <c r="C10" s="4" t="s">
        <v>564</v>
      </c>
      <c r="D10" s="4" t="s">
        <v>27</v>
      </c>
      <c r="E10" s="4">
        <v>0</v>
      </c>
      <c r="F10" s="4">
        <v>3</v>
      </c>
      <c r="G10" s="4">
        <v>0</v>
      </c>
      <c r="H10" s="4">
        <v>0</v>
      </c>
      <c r="I10" s="4">
        <v>0</v>
      </c>
      <c r="J10" s="4">
        <v>0.5</v>
      </c>
      <c r="K10" s="4">
        <v>0</v>
      </c>
      <c r="L10" s="4">
        <v>0</v>
      </c>
      <c r="M10" s="4">
        <v>0</v>
      </c>
      <c r="N10" s="4">
        <v>0.5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</row>
    <row r="11" spans="1:38" x14ac:dyDescent="0.25">
      <c r="A11" s="4">
        <v>3</v>
      </c>
      <c r="B11" s="4" t="s">
        <v>554</v>
      </c>
      <c r="C11" s="4" t="s">
        <v>565</v>
      </c>
      <c r="D11" s="4" t="s">
        <v>27</v>
      </c>
      <c r="E11" s="4">
        <v>0</v>
      </c>
      <c r="F11" s="4">
        <v>0</v>
      </c>
      <c r="G11" s="4">
        <v>3</v>
      </c>
      <c r="H11" s="4">
        <v>0</v>
      </c>
      <c r="I11" s="4">
        <v>0</v>
      </c>
      <c r="J11" s="4">
        <v>0</v>
      </c>
      <c r="K11" s="4">
        <v>0.5</v>
      </c>
      <c r="L11" s="4">
        <v>0</v>
      </c>
      <c r="M11" s="4">
        <v>0</v>
      </c>
      <c r="N11" s="4">
        <v>0</v>
      </c>
      <c r="O11" s="4">
        <v>0.5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</row>
    <row r="12" spans="1:38" x14ac:dyDescent="0.25">
      <c r="A12" s="4">
        <v>3</v>
      </c>
      <c r="B12" s="4" t="s">
        <v>556</v>
      </c>
      <c r="C12" s="4" t="s">
        <v>566</v>
      </c>
      <c r="D12" s="4" t="s">
        <v>27</v>
      </c>
      <c r="E12" s="4">
        <v>0</v>
      </c>
      <c r="F12" s="4">
        <v>0</v>
      </c>
      <c r="G12" s="4">
        <v>0</v>
      </c>
      <c r="H12" s="4">
        <v>3</v>
      </c>
      <c r="I12" s="4">
        <v>0</v>
      </c>
      <c r="J12" s="4">
        <v>0</v>
      </c>
      <c r="K12" s="4">
        <v>0</v>
      </c>
      <c r="L12" s="4">
        <v>0.5</v>
      </c>
      <c r="M12" s="4">
        <v>0</v>
      </c>
      <c r="N12" s="4">
        <v>0</v>
      </c>
      <c r="O12" s="4">
        <v>0</v>
      </c>
      <c r="P12" s="4">
        <v>0.5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</row>
    <row r="13" spans="1:38" x14ac:dyDescent="0.25">
      <c r="A13" s="4">
        <v>3</v>
      </c>
      <c r="B13" s="4" t="s">
        <v>558</v>
      </c>
      <c r="C13" s="4" t="s">
        <v>567</v>
      </c>
      <c r="D13" s="4" t="s">
        <v>27</v>
      </c>
      <c r="E13" s="4">
        <v>0</v>
      </c>
      <c r="F13" s="4">
        <v>0</v>
      </c>
      <c r="G13" s="4">
        <v>0</v>
      </c>
      <c r="H13" s="4">
        <v>0</v>
      </c>
      <c r="I13" s="4">
        <v>3</v>
      </c>
      <c r="J13" s="4">
        <v>0</v>
      </c>
      <c r="K13" s="4">
        <v>0</v>
      </c>
      <c r="L13" s="4">
        <v>0</v>
      </c>
      <c r="M13" s="4">
        <v>0.5</v>
      </c>
      <c r="N13" s="4">
        <v>0</v>
      </c>
      <c r="O13" s="4">
        <v>0</v>
      </c>
      <c r="P13" s="4">
        <v>0</v>
      </c>
      <c r="Q13" s="4">
        <v>0.5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</row>
    <row r="14" spans="1:38" x14ac:dyDescent="0.25">
      <c r="A14" s="4">
        <v>4</v>
      </c>
      <c r="B14" s="4" t="s">
        <v>552</v>
      </c>
      <c r="C14" s="4" t="s">
        <v>568</v>
      </c>
      <c r="D14" s="4" t="s">
        <v>32</v>
      </c>
      <c r="E14" s="4">
        <v>0</v>
      </c>
      <c r="F14" s="4">
        <v>3</v>
      </c>
      <c r="G14" s="4">
        <v>0</v>
      </c>
      <c r="H14" s="4">
        <v>0</v>
      </c>
      <c r="I14" s="4">
        <v>0</v>
      </c>
      <c r="J14" s="4">
        <v>0.5</v>
      </c>
      <c r="K14" s="4">
        <v>0</v>
      </c>
      <c r="L14" s="4">
        <v>0</v>
      </c>
      <c r="M14" s="4">
        <v>0</v>
      </c>
      <c r="N14" s="4">
        <v>0.5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</row>
    <row r="15" spans="1:38" x14ac:dyDescent="0.25">
      <c r="A15" s="4">
        <v>4</v>
      </c>
      <c r="B15" s="4" t="s">
        <v>554</v>
      </c>
      <c r="C15" s="4" t="s">
        <v>569</v>
      </c>
      <c r="D15" s="4" t="s">
        <v>32</v>
      </c>
      <c r="E15" s="4">
        <v>0</v>
      </c>
      <c r="F15" s="4">
        <v>0</v>
      </c>
      <c r="G15" s="4">
        <v>3</v>
      </c>
      <c r="H15" s="4">
        <v>0</v>
      </c>
      <c r="I15" s="4">
        <v>0</v>
      </c>
      <c r="J15" s="4">
        <v>0</v>
      </c>
      <c r="K15" s="4">
        <v>0.5</v>
      </c>
      <c r="L15" s="4">
        <v>0</v>
      </c>
      <c r="M15" s="4">
        <v>0</v>
      </c>
      <c r="N15" s="4">
        <v>0</v>
      </c>
      <c r="O15" s="4">
        <v>0.5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</row>
    <row r="16" spans="1:38" x14ac:dyDescent="0.25">
      <c r="A16" s="4">
        <v>4</v>
      </c>
      <c r="B16" s="4" t="s">
        <v>556</v>
      </c>
      <c r="C16" s="4" t="s">
        <v>570</v>
      </c>
      <c r="D16" s="4" t="s">
        <v>32</v>
      </c>
      <c r="E16" s="4">
        <v>0</v>
      </c>
      <c r="F16" s="4">
        <v>0</v>
      </c>
      <c r="G16" s="4">
        <v>0</v>
      </c>
      <c r="H16" s="4">
        <v>3</v>
      </c>
      <c r="I16" s="4">
        <v>0</v>
      </c>
      <c r="J16" s="4">
        <v>0</v>
      </c>
      <c r="K16" s="4">
        <v>0</v>
      </c>
      <c r="L16" s="4">
        <v>0.5</v>
      </c>
      <c r="M16" s="4">
        <v>0</v>
      </c>
      <c r="N16" s="4">
        <v>0</v>
      </c>
      <c r="O16" s="4">
        <v>0</v>
      </c>
      <c r="P16" s="4">
        <v>0.5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</row>
    <row r="17" spans="1:38" x14ac:dyDescent="0.25">
      <c r="A17" s="4">
        <v>4</v>
      </c>
      <c r="B17" s="4" t="s">
        <v>558</v>
      </c>
      <c r="C17" s="4" t="s">
        <v>571</v>
      </c>
      <c r="D17" s="4" t="s">
        <v>32</v>
      </c>
      <c r="E17" s="4">
        <v>0</v>
      </c>
      <c r="F17" s="4">
        <v>0</v>
      </c>
      <c r="G17" s="4">
        <v>0</v>
      </c>
      <c r="H17" s="4">
        <v>0</v>
      </c>
      <c r="I17" s="4">
        <v>3</v>
      </c>
      <c r="J17" s="4">
        <v>0</v>
      </c>
      <c r="K17" s="4">
        <v>0</v>
      </c>
      <c r="L17" s="4">
        <v>0</v>
      </c>
      <c r="M17" s="4">
        <v>0.5</v>
      </c>
      <c r="N17" s="4">
        <v>0</v>
      </c>
      <c r="O17" s="4">
        <v>0</v>
      </c>
      <c r="P17" s="4">
        <v>0</v>
      </c>
      <c r="Q17" s="4">
        <v>0.5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</row>
    <row r="18" spans="1:38" x14ac:dyDescent="0.25">
      <c r="A18" s="4">
        <v>5</v>
      </c>
      <c r="B18" s="4" t="s">
        <v>552</v>
      </c>
      <c r="C18" s="4" t="s">
        <v>572</v>
      </c>
      <c r="D18" s="4" t="s">
        <v>37</v>
      </c>
      <c r="E18" s="4">
        <v>0</v>
      </c>
      <c r="F18" s="4">
        <v>3</v>
      </c>
      <c r="G18" s="4">
        <v>0</v>
      </c>
      <c r="H18" s="4">
        <v>0</v>
      </c>
      <c r="I18" s="4">
        <v>0</v>
      </c>
      <c r="J18" s="4">
        <v>0.5</v>
      </c>
      <c r="K18" s="4">
        <v>0</v>
      </c>
      <c r="L18" s="4">
        <v>0</v>
      </c>
      <c r="M18" s="4">
        <v>0</v>
      </c>
      <c r="N18" s="4">
        <v>0.5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</row>
    <row r="19" spans="1:38" x14ac:dyDescent="0.25">
      <c r="A19" s="4">
        <v>5</v>
      </c>
      <c r="B19" s="4" t="s">
        <v>554</v>
      </c>
      <c r="C19" s="4" t="s">
        <v>573</v>
      </c>
      <c r="D19" s="4" t="s">
        <v>37</v>
      </c>
      <c r="E19" s="4">
        <v>0</v>
      </c>
      <c r="F19" s="4">
        <v>0</v>
      </c>
      <c r="G19" s="4">
        <v>3</v>
      </c>
      <c r="H19" s="4">
        <v>0</v>
      </c>
      <c r="I19" s="4">
        <v>0</v>
      </c>
      <c r="J19" s="4">
        <v>0</v>
      </c>
      <c r="K19" s="4">
        <v>0.5</v>
      </c>
      <c r="L19" s="4">
        <v>0</v>
      </c>
      <c r="M19" s="4">
        <v>0</v>
      </c>
      <c r="N19" s="4">
        <v>0</v>
      </c>
      <c r="O19" s="4">
        <v>0.5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</row>
    <row r="20" spans="1:38" x14ac:dyDescent="0.25">
      <c r="A20" s="4">
        <v>5</v>
      </c>
      <c r="B20" s="4" t="s">
        <v>556</v>
      </c>
      <c r="C20" s="4" t="s">
        <v>574</v>
      </c>
      <c r="D20" s="4" t="s">
        <v>37</v>
      </c>
      <c r="E20" s="4">
        <v>0</v>
      </c>
      <c r="F20" s="4">
        <v>0</v>
      </c>
      <c r="G20" s="4">
        <v>0</v>
      </c>
      <c r="H20" s="4">
        <v>3</v>
      </c>
      <c r="I20" s="4">
        <v>0</v>
      </c>
      <c r="J20" s="4">
        <v>0</v>
      </c>
      <c r="K20" s="4">
        <v>0</v>
      </c>
      <c r="L20" s="4">
        <v>0.5</v>
      </c>
      <c r="M20" s="4">
        <v>0</v>
      </c>
      <c r="N20" s="4">
        <v>0</v>
      </c>
      <c r="O20" s="4">
        <v>0</v>
      </c>
      <c r="P20" s="4">
        <v>0.5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</row>
    <row r="21" spans="1:38" x14ac:dyDescent="0.25">
      <c r="A21" s="4">
        <v>5</v>
      </c>
      <c r="B21" s="4" t="s">
        <v>558</v>
      </c>
      <c r="C21" s="4" t="s">
        <v>575</v>
      </c>
      <c r="D21" s="4" t="s">
        <v>37</v>
      </c>
      <c r="E21" s="4">
        <v>0</v>
      </c>
      <c r="F21" s="4">
        <v>0</v>
      </c>
      <c r="G21" s="4">
        <v>0</v>
      </c>
      <c r="H21" s="4">
        <v>0</v>
      </c>
      <c r="I21" s="4">
        <v>3</v>
      </c>
      <c r="J21" s="4">
        <v>0</v>
      </c>
      <c r="K21" s="4">
        <v>0</v>
      </c>
      <c r="L21" s="4">
        <v>0</v>
      </c>
      <c r="M21" s="4">
        <v>0.5</v>
      </c>
      <c r="N21" s="4">
        <v>0</v>
      </c>
      <c r="O21" s="4">
        <v>0</v>
      </c>
      <c r="P21" s="4">
        <v>0</v>
      </c>
      <c r="Q21" s="4">
        <v>0.5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</row>
    <row r="22" spans="1:38" x14ac:dyDescent="0.25">
      <c r="A22" s="4">
        <v>6</v>
      </c>
      <c r="B22" s="4" t="s">
        <v>552</v>
      </c>
      <c r="C22" s="4" t="s">
        <v>576</v>
      </c>
      <c r="D22" s="4" t="s">
        <v>42</v>
      </c>
      <c r="E22" s="4">
        <v>0</v>
      </c>
      <c r="F22" s="4">
        <v>3</v>
      </c>
      <c r="G22" s="4">
        <v>0</v>
      </c>
      <c r="H22" s="4">
        <v>0</v>
      </c>
      <c r="I22" s="4">
        <v>0</v>
      </c>
      <c r="J22" s="4">
        <v>0.5</v>
      </c>
      <c r="K22" s="4">
        <v>0</v>
      </c>
      <c r="L22" s="4">
        <v>0</v>
      </c>
      <c r="M22" s="4">
        <v>0</v>
      </c>
      <c r="N22" s="4">
        <v>0.5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</row>
    <row r="23" spans="1:38" x14ac:dyDescent="0.25">
      <c r="A23" s="4">
        <v>6</v>
      </c>
      <c r="B23" s="4" t="s">
        <v>554</v>
      </c>
      <c r="C23" s="4" t="s">
        <v>577</v>
      </c>
      <c r="D23" s="4" t="s">
        <v>42</v>
      </c>
      <c r="E23" s="4">
        <v>0</v>
      </c>
      <c r="F23" s="4">
        <v>0</v>
      </c>
      <c r="G23" s="4">
        <v>3</v>
      </c>
      <c r="H23" s="4">
        <v>0</v>
      </c>
      <c r="I23" s="4">
        <v>0</v>
      </c>
      <c r="J23" s="4">
        <v>0</v>
      </c>
      <c r="K23" s="4">
        <v>0.5</v>
      </c>
      <c r="L23" s="4">
        <v>0</v>
      </c>
      <c r="M23" s="4">
        <v>0</v>
      </c>
      <c r="N23" s="4">
        <v>0</v>
      </c>
      <c r="O23" s="4">
        <v>0.5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</row>
    <row r="24" spans="1:38" x14ac:dyDescent="0.25">
      <c r="A24" s="4">
        <v>6</v>
      </c>
      <c r="B24" s="4" t="s">
        <v>556</v>
      </c>
      <c r="C24" s="4" t="s">
        <v>578</v>
      </c>
      <c r="D24" s="4" t="s">
        <v>42</v>
      </c>
      <c r="E24" s="4">
        <v>0</v>
      </c>
      <c r="F24" s="4">
        <v>0</v>
      </c>
      <c r="G24" s="4">
        <v>0</v>
      </c>
      <c r="H24" s="4">
        <v>3</v>
      </c>
      <c r="I24" s="4">
        <v>0</v>
      </c>
      <c r="J24" s="4">
        <v>0</v>
      </c>
      <c r="K24" s="4">
        <v>0</v>
      </c>
      <c r="L24" s="4">
        <v>0.5</v>
      </c>
      <c r="M24" s="4">
        <v>0</v>
      </c>
      <c r="N24" s="4">
        <v>0</v>
      </c>
      <c r="O24" s="4">
        <v>0</v>
      </c>
      <c r="P24" s="4">
        <v>0.5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</row>
    <row r="25" spans="1:38" x14ac:dyDescent="0.25">
      <c r="A25" s="4">
        <v>6</v>
      </c>
      <c r="B25" s="4" t="s">
        <v>558</v>
      </c>
      <c r="C25" s="4" t="s">
        <v>579</v>
      </c>
      <c r="D25" s="4" t="s">
        <v>42</v>
      </c>
      <c r="E25" s="4">
        <v>0</v>
      </c>
      <c r="F25" s="4">
        <v>0</v>
      </c>
      <c r="G25" s="4">
        <v>0</v>
      </c>
      <c r="H25" s="4">
        <v>0</v>
      </c>
      <c r="I25" s="4">
        <v>3</v>
      </c>
      <c r="J25" s="4">
        <v>0</v>
      </c>
      <c r="K25" s="4">
        <v>0</v>
      </c>
      <c r="L25" s="4">
        <v>0</v>
      </c>
      <c r="M25" s="4">
        <v>0.5</v>
      </c>
      <c r="N25" s="4">
        <v>0</v>
      </c>
      <c r="O25" s="4">
        <v>0</v>
      </c>
      <c r="P25" s="4">
        <v>0</v>
      </c>
      <c r="Q25" s="4">
        <v>0.5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</row>
    <row r="26" spans="1:38" x14ac:dyDescent="0.25">
      <c r="A26" s="4">
        <v>7</v>
      </c>
      <c r="B26" s="4" t="s">
        <v>552</v>
      </c>
      <c r="C26" s="4" t="s">
        <v>580</v>
      </c>
      <c r="D26" s="4" t="s">
        <v>47</v>
      </c>
      <c r="E26" s="4">
        <v>0</v>
      </c>
      <c r="F26" s="4">
        <v>3</v>
      </c>
      <c r="G26" s="4">
        <v>0</v>
      </c>
      <c r="H26" s="4">
        <v>0</v>
      </c>
      <c r="I26" s="4">
        <v>0</v>
      </c>
      <c r="J26" s="4">
        <v>0.5</v>
      </c>
      <c r="K26" s="4">
        <v>0</v>
      </c>
      <c r="L26" s="4">
        <v>0</v>
      </c>
      <c r="M26" s="4">
        <v>0</v>
      </c>
      <c r="N26" s="4">
        <v>0.5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</row>
    <row r="27" spans="1:38" x14ac:dyDescent="0.25">
      <c r="A27" s="4">
        <v>7</v>
      </c>
      <c r="B27" s="4" t="s">
        <v>554</v>
      </c>
      <c r="C27" s="4" t="s">
        <v>581</v>
      </c>
      <c r="D27" s="4" t="s">
        <v>47</v>
      </c>
      <c r="E27" s="4">
        <v>0</v>
      </c>
      <c r="F27" s="4">
        <v>0</v>
      </c>
      <c r="G27" s="4">
        <v>3</v>
      </c>
      <c r="H27" s="4">
        <v>0</v>
      </c>
      <c r="I27" s="4">
        <v>0</v>
      </c>
      <c r="J27" s="4">
        <v>0</v>
      </c>
      <c r="K27" s="4">
        <v>0.5</v>
      </c>
      <c r="L27" s="4">
        <v>0</v>
      </c>
      <c r="M27" s="4">
        <v>0</v>
      </c>
      <c r="N27" s="4">
        <v>0</v>
      </c>
      <c r="O27" s="4">
        <v>0.5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</row>
    <row r="28" spans="1:38" x14ac:dyDescent="0.25">
      <c r="A28" s="4">
        <v>7</v>
      </c>
      <c r="B28" s="4" t="s">
        <v>556</v>
      </c>
      <c r="C28" s="4" t="s">
        <v>582</v>
      </c>
      <c r="D28" s="4" t="s">
        <v>47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4">
        <v>0</v>
      </c>
      <c r="K28" s="4">
        <v>0</v>
      </c>
      <c r="L28" s="4">
        <v>0.5</v>
      </c>
      <c r="M28" s="4">
        <v>0</v>
      </c>
      <c r="N28" s="4">
        <v>0</v>
      </c>
      <c r="O28" s="4">
        <v>0</v>
      </c>
      <c r="P28" s="4">
        <v>0.5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</row>
    <row r="29" spans="1:38" x14ac:dyDescent="0.25">
      <c r="A29" s="4">
        <v>7</v>
      </c>
      <c r="B29" s="4" t="s">
        <v>558</v>
      </c>
      <c r="C29" s="4" t="s">
        <v>583</v>
      </c>
      <c r="D29" s="4" t="s">
        <v>47</v>
      </c>
      <c r="E29" s="4">
        <v>0</v>
      </c>
      <c r="F29" s="4">
        <v>0</v>
      </c>
      <c r="G29" s="4">
        <v>0</v>
      </c>
      <c r="H29" s="4">
        <v>0</v>
      </c>
      <c r="I29" s="4">
        <v>3</v>
      </c>
      <c r="J29" s="4">
        <v>0</v>
      </c>
      <c r="K29" s="4">
        <v>0</v>
      </c>
      <c r="L29" s="4">
        <v>0</v>
      </c>
      <c r="M29" s="4">
        <v>0.5</v>
      </c>
      <c r="N29" s="4">
        <v>0</v>
      </c>
      <c r="O29" s="4">
        <v>0</v>
      </c>
      <c r="P29" s="4">
        <v>0</v>
      </c>
      <c r="Q29" s="4">
        <v>0.5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</row>
    <row r="30" spans="1:38" x14ac:dyDescent="0.25">
      <c r="A30" s="4">
        <v>8</v>
      </c>
      <c r="B30" s="4" t="s">
        <v>552</v>
      </c>
      <c r="C30" s="4" t="s">
        <v>584</v>
      </c>
      <c r="D30" s="4" t="s">
        <v>52</v>
      </c>
      <c r="E30" s="4">
        <v>0</v>
      </c>
      <c r="F30" s="4">
        <v>3</v>
      </c>
      <c r="G30" s="4">
        <v>0</v>
      </c>
      <c r="H30" s="4">
        <v>0</v>
      </c>
      <c r="I30" s="4">
        <v>0</v>
      </c>
      <c r="J30" s="4">
        <v>0.5</v>
      </c>
      <c r="K30" s="4">
        <v>0</v>
      </c>
      <c r="L30" s="4">
        <v>0</v>
      </c>
      <c r="M30" s="4">
        <v>0</v>
      </c>
      <c r="N30" s="4">
        <v>0.5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</row>
    <row r="31" spans="1:38" x14ac:dyDescent="0.25">
      <c r="A31" s="4">
        <v>8</v>
      </c>
      <c r="B31" s="4" t="s">
        <v>554</v>
      </c>
      <c r="C31" s="4" t="s">
        <v>585</v>
      </c>
      <c r="D31" s="4" t="s">
        <v>52</v>
      </c>
      <c r="E31" s="4">
        <v>0</v>
      </c>
      <c r="F31" s="4">
        <v>0</v>
      </c>
      <c r="G31" s="4">
        <v>3</v>
      </c>
      <c r="H31" s="4">
        <v>0</v>
      </c>
      <c r="I31" s="4">
        <v>0</v>
      </c>
      <c r="J31" s="4">
        <v>0</v>
      </c>
      <c r="K31" s="4">
        <v>0.5</v>
      </c>
      <c r="L31" s="4">
        <v>0</v>
      </c>
      <c r="M31" s="4">
        <v>0</v>
      </c>
      <c r="N31" s="4">
        <v>0</v>
      </c>
      <c r="O31" s="4">
        <v>0.5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</row>
    <row r="32" spans="1:38" x14ac:dyDescent="0.25">
      <c r="A32" s="4">
        <v>8</v>
      </c>
      <c r="B32" s="4" t="s">
        <v>556</v>
      </c>
      <c r="C32" s="4" t="s">
        <v>586</v>
      </c>
      <c r="D32" s="4" t="s">
        <v>52</v>
      </c>
      <c r="E32" s="4">
        <v>0</v>
      </c>
      <c r="F32" s="4">
        <v>0</v>
      </c>
      <c r="G32" s="4">
        <v>0</v>
      </c>
      <c r="H32" s="4">
        <v>3</v>
      </c>
      <c r="I32" s="4">
        <v>0</v>
      </c>
      <c r="J32" s="4">
        <v>0</v>
      </c>
      <c r="K32" s="4">
        <v>0</v>
      </c>
      <c r="L32" s="4">
        <v>0.5</v>
      </c>
      <c r="M32" s="4">
        <v>0</v>
      </c>
      <c r="N32" s="4">
        <v>0</v>
      </c>
      <c r="O32" s="4">
        <v>0</v>
      </c>
      <c r="P32" s="4">
        <v>0.5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</row>
    <row r="33" spans="1:38" x14ac:dyDescent="0.25">
      <c r="A33" s="4">
        <v>8</v>
      </c>
      <c r="B33" s="4" t="s">
        <v>558</v>
      </c>
      <c r="C33" s="4" t="s">
        <v>587</v>
      </c>
      <c r="D33" s="4" t="s">
        <v>52</v>
      </c>
      <c r="E33" s="4">
        <v>0</v>
      </c>
      <c r="F33" s="4">
        <v>0</v>
      </c>
      <c r="G33" s="4">
        <v>0</v>
      </c>
      <c r="H33" s="4">
        <v>0</v>
      </c>
      <c r="I33" s="4">
        <v>3</v>
      </c>
      <c r="J33" s="4">
        <v>0</v>
      </c>
      <c r="K33" s="4">
        <v>0</v>
      </c>
      <c r="L33" s="4">
        <v>0</v>
      </c>
      <c r="M33" s="4">
        <v>0.5</v>
      </c>
      <c r="N33" s="4">
        <v>0</v>
      </c>
      <c r="O33" s="4">
        <v>0</v>
      </c>
      <c r="P33" s="4">
        <v>0</v>
      </c>
      <c r="Q33" s="4">
        <v>0.5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</row>
    <row r="34" spans="1:38" x14ac:dyDescent="0.25">
      <c r="A34" s="4">
        <v>9</v>
      </c>
      <c r="B34" s="4" t="s">
        <v>552</v>
      </c>
      <c r="C34" s="4" t="s">
        <v>588</v>
      </c>
      <c r="D34" s="4" t="s">
        <v>57</v>
      </c>
      <c r="E34" s="4">
        <v>0</v>
      </c>
      <c r="F34" s="4">
        <v>3</v>
      </c>
      <c r="G34" s="4">
        <v>0</v>
      </c>
      <c r="H34" s="4">
        <v>0</v>
      </c>
      <c r="I34" s="4">
        <v>0</v>
      </c>
      <c r="J34" s="4">
        <v>0.5</v>
      </c>
      <c r="K34" s="4">
        <v>0</v>
      </c>
      <c r="L34" s="4">
        <v>0</v>
      </c>
      <c r="M34" s="4">
        <v>0</v>
      </c>
      <c r="N34" s="4">
        <v>0.5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</row>
    <row r="35" spans="1:38" x14ac:dyDescent="0.25">
      <c r="A35" s="4">
        <v>9</v>
      </c>
      <c r="B35" s="4" t="s">
        <v>554</v>
      </c>
      <c r="C35" s="4" t="s">
        <v>589</v>
      </c>
      <c r="D35" s="4" t="s">
        <v>57</v>
      </c>
      <c r="E35" s="4">
        <v>0</v>
      </c>
      <c r="F35" s="4">
        <v>0</v>
      </c>
      <c r="G35" s="4">
        <v>3</v>
      </c>
      <c r="H35" s="4">
        <v>0</v>
      </c>
      <c r="I35" s="4">
        <v>0</v>
      </c>
      <c r="J35" s="4">
        <v>0</v>
      </c>
      <c r="K35" s="4">
        <v>0.5</v>
      </c>
      <c r="L35" s="4">
        <v>0</v>
      </c>
      <c r="M35" s="4">
        <v>0</v>
      </c>
      <c r="N35" s="4">
        <v>0</v>
      </c>
      <c r="O35" s="4">
        <v>0.5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</row>
    <row r="36" spans="1:38" x14ac:dyDescent="0.25">
      <c r="A36" s="4">
        <v>9</v>
      </c>
      <c r="B36" s="4" t="s">
        <v>556</v>
      </c>
      <c r="C36" s="4" t="s">
        <v>590</v>
      </c>
      <c r="D36" s="4" t="s">
        <v>57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4">
        <v>0</v>
      </c>
      <c r="K36" s="4">
        <v>0</v>
      </c>
      <c r="L36" s="4">
        <v>0.5</v>
      </c>
      <c r="M36" s="4">
        <v>0</v>
      </c>
      <c r="N36" s="4">
        <v>0</v>
      </c>
      <c r="O36" s="4">
        <v>0</v>
      </c>
      <c r="P36" s="4">
        <v>0.5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</row>
    <row r="37" spans="1:38" x14ac:dyDescent="0.25">
      <c r="A37" s="4">
        <v>9</v>
      </c>
      <c r="B37" s="4" t="s">
        <v>558</v>
      </c>
      <c r="C37" s="4" t="s">
        <v>591</v>
      </c>
      <c r="D37" s="4" t="s">
        <v>57</v>
      </c>
      <c r="E37" s="4">
        <v>0</v>
      </c>
      <c r="F37" s="4">
        <v>0</v>
      </c>
      <c r="G37" s="4">
        <v>0</v>
      </c>
      <c r="H37" s="4">
        <v>0</v>
      </c>
      <c r="I37" s="4">
        <v>3</v>
      </c>
      <c r="J37" s="4">
        <v>0</v>
      </c>
      <c r="K37" s="4">
        <v>0</v>
      </c>
      <c r="L37" s="4">
        <v>0</v>
      </c>
      <c r="M37" s="4">
        <v>0.5</v>
      </c>
      <c r="N37" s="4">
        <v>0</v>
      </c>
      <c r="O37" s="4">
        <v>0</v>
      </c>
      <c r="P37" s="4">
        <v>0</v>
      </c>
      <c r="Q37" s="4">
        <v>0.5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</row>
    <row r="38" spans="1:38" x14ac:dyDescent="0.25">
      <c r="A38" s="4">
        <v>10</v>
      </c>
      <c r="B38" s="4" t="s">
        <v>552</v>
      </c>
      <c r="C38" s="4" t="s">
        <v>592</v>
      </c>
      <c r="D38" s="4" t="s">
        <v>62</v>
      </c>
      <c r="E38" s="4">
        <v>0</v>
      </c>
      <c r="F38" s="4">
        <v>3</v>
      </c>
      <c r="G38" s="4">
        <v>0</v>
      </c>
      <c r="H38" s="4">
        <v>0</v>
      </c>
      <c r="I38" s="4">
        <v>0</v>
      </c>
      <c r="J38" s="4">
        <v>0.5</v>
      </c>
      <c r="K38" s="4">
        <v>0</v>
      </c>
      <c r="L38" s="4">
        <v>0</v>
      </c>
      <c r="M38" s="4">
        <v>0</v>
      </c>
      <c r="N38" s="4">
        <v>0.5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</row>
    <row r="39" spans="1:38" x14ac:dyDescent="0.25">
      <c r="A39" s="4">
        <v>10</v>
      </c>
      <c r="B39" s="4" t="s">
        <v>554</v>
      </c>
      <c r="C39" s="4" t="s">
        <v>593</v>
      </c>
      <c r="D39" s="4" t="s">
        <v>62</v>
      </c>
      <c r="E39" s="4">
        <v>0</v>
      </c>
      <c r="F39" s="4">
        <v>0</v>
      </c>
      <c r="G39" s="4">
        <v>3</v>
      </c>
      <c r="H39" s="4">
        <v>0</v>
      </c>
      <c r="I39" s="4">
        <v>0</v>
      </c>
      <c r="J39" s="4">
        <v>0</v>
      </c>
      <c r="K39" s="4">
        <v>0.5</v>
      </c>
      <c r="L39" s="4">
        <v>0</v>
      </c>
      <c r="M39" s="4">
        <v>0</v>
      </c>
      <c r="N39" s="4">
        <v>0</v>
      </c>
      <c r="O39" s="4">
        <v>0.5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</row>
    <row r="40" spans="1:38" x14ac:dyDescent="0.25">
      <c r="A40" s="4">
        <v>10</v>
      </c>
      <c r="B40" s="4" t="s">
        <v>556</v>
      </c>
      <c r="C40" s="4" t="s">
        <v>594</v>
      </c>
      <c r="D40" s="4" t="s">
        <v>62</v>
      </c>
      <c r="E40" s="4">
        <v>0</v>
      </c>
      <c r="F40" s="4">
        <v>0</v>
      </c>
      <c r="G40" s="4">
        <v>0</v>
      </c>
      <c r="H40" s="4">
        <v>3</v>
      </c>
      <c r="I40" s="4">
        <v>0</v>
      </c>
      <c r="J40" s="4">
        <v>0</v>
      </c>
      <c r="K40" s="4">
        <v>0</v>
      </c>
      <c r="L40" s="4">
        <v>0.5</v>
      </c>
      <c r="M40" s="4">
        <v>0</v>
      </c>
      <c r="N40" s="4">
        <v>0</v>
      </c>
      <c r="O40" s="4">
        <v>0</v>
      </c>
      <c r="P40" s="4">
        <v>0.5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</row>
    <row r="41" spans="1:38" x14ac:dyDescent="0.25">
      <c r="A41" s="4">
        <v>10</v>
      </c>
      <c r="B41" s="4" t="s">
        <v>558</v>
      </c>
      <c r="C41" s="4" t="s">
        <v>595</v>
      </c>
      <c r="D41" s="4" t="s">
        <v>62</v>
      </c>
      <c r="E41" s="4">
        <v>0</v>
      </c>
      <c r="F41" s="4">
        <v>0</v>
      </c>
      <c r="G41" s="4">
        <v>0</v>
      </c>
      <c r="H41" s="4">
        <v>0</v>
      </c>
      <c r="I41" s="4">
        <v>3</v>
      </c>
      <c r="J41" s="4">
        <v>0</v>
      </c>
      <c r="K41" s="4">
        <v>0</v>
      </c>
      <c r="L41" s="4">
        <v>0</v>
      </c>
      <c r="M41" s="4">
        <v>0.5</v>
      </c>
      <c r="N41" s="4">
        <v>0</v>
      </c>
      <c r="O41" s="4">
        <v>0</v>
      </c>
      <c r="P41" s="4">
        <v>0</v>
      </c>
      <c r="Q41" s="4">
        <v>0.5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</row>
    <row r="42" spans="1:38" x14ac:dyDescent="0.25">
      <c r="A42" s="4">
        <v>11</v>
      </c>
      <c r="B42" s="4" t="s">
        <v>552</v>
      </c>
      <c r="C42" s="4" t="s">
        <v>596</v>
      </c>
      <c r="D42" s="4" t="s">
        <v>67</v>
      </c>
      <c r="E42" s="4">
        <v>0</v>
      </c>
      <c r="F42" s="4">
        <v>3</v>
      </c>
      <c r="G42" s="4">
        <v>0</v>
      </c>
      <c r="H42" s="4">
        <v>0</v>
      </c>
      <c r="I42" s="4">
        <v>0</v>
      </c>
      <c r="J42" s="4">
        <v>0.5</v>
      </c>
      <c r="K42" s="4">
        <v>0</v>
      </c>
      <c r="L42" s="4">
        <v>0</v>
      </c>
      <c r="M42" s="4">
        <v>0</v>
      </c>
      <c r="N42" s="4">
        <v>0.5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</row>
    <row r="43" spans="1:38" x14ac:dyDescent="0.25">
      <c r="A43" s="4">
        <v>11</v>
      </c>
      <c r="B43" s="4" t="s">
        <v>554</v>
      </c>
      <c r="C43" s="4" t="s">
        <v>597</v>
      </c>
      <c r="D43" s="4" t="s">
        <v>67</v>
      </c>
      <c r="E43" s="4">
        <v>0</v>
      </c>
      <c r="F43" s="4">
        <v>0</v>
      </c>
      <c r="G43" s="4">
        <v>3</v>
      </c>
      <c r="H43" s="4">
        <v>0</v>
      </c>
      <c r="I43" s="4">
        <v>0</v>
      </c>
      <c r="J43" s="4">
        <v>0</v>
      </c>
      <c r="K43" s="4">
        <v>0.5</v>
      </c>
      <c r="L43" s="4">
        <v>0</v>
      </c>
      <c r="M43" s="4">
        <v>0</v>
      </c>
      <c r="N43" s="4">
        <v>0</v>
      </c>
      <c r="O43" s="4">
        <v>0.5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</row>
    <row r="44" spans="1:38" x14ac:dyDescent="0.25">
      <c r="A44" s="4">
        <v>11</v>
      </c>
      <c r="B44" s="4" t="s">
        <v>556</v>
      </c>
      <c r="C44" s="4" t="s">
        <v>598</v>
      </c>
      <c r="D44" s="4" t="s">
        <v>67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4">
        <v>0</v>
      </c>
      <c r="K44" s="4">
        <v>0</v>
      </c>
      <c r="L44" s="4">
        <v>0.5</v>
      </c>
      <c r="M44" s="4">
        <v>0</v>
      </c>
      <c r="N44" s="4">
        <v>0</v>
      </c>
      <c r="O44" s="4">
        <v>0</v>
      </c>
      <c r="P44" s="4">
        <v>0.5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</row>
    <row r="45" spans="1:38" x14ac:dyDescent="0.25">
      <c r="A45" s="4">
        <v>11</v>
      </c>
      <c r="B45" s="4" t="s">
        <v>558</v>
      </c>
      <c r="C45" s="4" t="s">
        <v>599</v>
      </c>
      <c r="D45" s="4" t="s">
        <v>67</v>
      </c>
      <c r="E45" s="4">
        <v>0</v>
      </c>
      <c r="F45" s="4">
        <v>0</v>
      </c>
      <c r="G45" s="4">
        <v>0</v>
      </c>
      <c r="H45" s="4">
        <v>0</v>
      </c>
      <c r="I45" s="4">
        <v>3</v>
      </c>
      <c r="J45" s="4">
        <v>0</v>
      </c>
      <c r="K45" s="4">
        <v>0</v>
      </c>
      <c r="L45" s="4">
        <v>0</v>
      </c>
      <c r="M45" s="4">
        <v>0.5</v>
      </c>
      <c r="N45" s="4">
        <v>0</v>
      </c>
      <c r="O45" s="4">
        <v>0</v>
      </c>
      <c r="P45" s="4">
        <v>0</v>
      </c>
      <c r="Q45" s="4">
        <v>0.5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</row>
    <row r="46" spans="1:38" x14ac:dyDescent="0.25">
      <c r="A46" s="4">
        <v>12</v>
      </c>
      <c r="B46" s="4" t="s">
        <v>552</v>
      </c>
      <c r="C46" s="4" t="s">
        <v>600</v>
      </c>
      <c r="D46" s="4" t="s">
        <v>72</v>
      </c>
      <c r="E46" s="4">
        <v>0</v>
      </c>
      <c r="F46" s="4">
        <v>3</v>
      </c>
      <c r="G46" s="4">
        <v>0</v>
      </c>
      <c r="H46" s="4">
        <v>0</v>
      </c>
      <c r="I46" s="4">
        <v>0</v>
      </c>
      <c r="J46" s="4">
        <v>0.5</v>
      </c>
      <c r="K46" s="4">
        <v>0</v>
      </c>
      <c r="L46" s="4">
        <v>0</v>
      </c>
      <c r="M46" s="4">
        <v>0</v>
      </c>
      <c r="N46" s="4">
        <v>0.5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</row>
    <row r="47" spans="1:38" x14ac:dyDescent="0.25">
      <c r="A47" s="4">
        <v>12</v>
      </c>
      <c r="B47" s="4" t="s">
        <v>554</v>
      </c>
      <c r="C47" s="4" t="s">
        <v>601</v>
      </c>
      <c r="D47" s="4" t="s">
        <v>72</v>
      </c>
      <c r="E47" s="4">
        <v>0</v>
      </c>
      <c r="F47" s="4">
        <v>0</v>
      </c>
      <c r="G47" s="4">
        <v>3</v>
      </c>
      <c r="H47" s="4">
        <v>0</v>
      </c>
      <c r="I47" s="4">
        <v>0</v>
      </c>
      <c r="J47" s="4">
        <v>0</v>
      </c>
      <c r="K47" s="4">
        <v>0.5</v>
      </c>
      <c r="L47" s="4">
        <v>0</v>
      </c>
      <c r="M47" s="4">
        <v>0</v>
      </c>
      <c r="N47" s="4">
        <v>0</v>
      </c>
      <c r="O47" s="4">
        <v>0.5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</row>
    <row r="48" spans="1:38" x14ac:dyDescent="0.25">
      <c r="A48" s="4">
        <v>12</v>
      </c>
      <c r="B48" s="4" t="s">
        <v>556</v>
      </c>
      <c r="C48" s="4" t="s">
        <v>602</v>
      </c>
      <c r="D48" s="4" t="s">
        <v>72</v>
      </c>
      <c r="E48" s="4">
        <v>0</v>
      </c>
      <c r="F48" s="4">
        <v>0</v>
      </c>
      <c r="G48" s="4">
        <v>0</v>
      </c>
      <c r="H48" s="4">
        <v>3</v>
      </c>
      <c r="I48" s="4">
        <v>0</v>
      </c>
      <c r="J48" s="4">
        <v>0</v>
      </c>
      <c r="K48" s="4">
        <v>0</v>
      </c>
      <c r="L48" s="4">
        <v>0.5</v>
      </c>
      <c r="M48" s="4">
        <v>0</v>
      </c>
      <c r="N48" s="4">
        <v>0</v>
      </c>
      <c r="O48" s="4">
        <v>0</v>
      </c>
      <c r="P48" s="4">
        <v>0.5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</row>
    <row r="49" spans="1:38" x14ac:dyDescent="0.25">
      <c r="A49" s="4">
        <v>12</v>
      </c>
      <c r="B49" s="4" t="s">
        <v>558</v>
      </c>
      <c r="C49" s="4" t="s">
        <v>603</v>
      </c>
      <c r="D49" s="4" t="s">
        <v>72</v>
      </c>
      <c r="E49" s="4">
        <v>0</v>
      </c>
      <c r="F49" s="4">
        <v>0</v>
      </c>
      <c r="G49" s="4">
        <v>0</v>
      </c>
      <c r="H49" s="4">
        <v>0</v>
      </c>
      <c r="I49" s="4">
        <v>3</v>
      </c>
      <c r="J49" s="4">
        <v>0</v>
      </c>
      <c r="K49" s="4">
        <v>0</v>
      </c>
      <c r="L49" s="4">
        <v>0</v>
      </c>
      <c r="M49" s="4">
        <v>0.5</v>
      </c>
      <c r="N49" s="4">
        <v>0</v>
      </c>
      <c r="O49" s="4">
        <v>0</v>
      </c>
      <c r="P49" s="4">
        <v>0</v>
      </c>
      <c r="Q49" s="4">
        <v>0.5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</row>
    <row r="50" spans="1:38" x14ac:dyDescent="0.25">
      <c r="A50" s="4">
        <v>13</v>
      </c>
      <c r="B50" s="4" t="s">
        <v>552</v>
      </c>
      <c r="C50" s="4" t="s">
        <v>604</v>
      </c>
      <c r="D50" s="4" t="s">
        <v>77</v>
      </c>
      <c r="E50" s="4">
        <v>0</v>
      </c>
      <c r="F50" s="4">
        <v>3</v>
      </c>
      <c r="G50" s="4">
        <v>0</v>
      </c>
      <c r="H50" s="4">
        <v>0</v>
      </c>
      <c r="I50" s="4">
        <v>0</v>
      </c>
      <c r="J50" s="4">
        <v>0.5</v>
      </c>
      <c r="K50" s="4">
        <v>0</v>
      </c>
      <c r="L50" s="4">
        <v>0</v>
      </c>
      <c r="M50" s="4">
        <v>0</v>
      </c>
      <c r="N50" s="4">
        <v>0.5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</row>
    <row r="51" spans="1:38" x14ac:dyDescent="0.25">
      <c r="A51" s="4">
        <v>13</v>
      </c>
      <c r="B51" s="4" t="s">
        <v>554</v>
      </c>
      <c r="C51" s="4" t="s">
        <v>605</v>
      </c>
      <c r="D51" s="4" t="s">
        <v>77</v>
      </c>
      <c r="E51" s="4">
        <v>0</v>
      </c>
      <c r="F51" s="4">
        <v>0</v>
      </c>
      <c r="G51" s="4">
        <v>3</v>
      </c>
      <c r="H51" s="4">
        <v>0</v>
      </c>
      <c r="I51" s="4">
        <v>0</v>
      </c>
      <c r="J51" s="4">
        <v>0</v>
      </c>
      <c r="K51" s="4">
        <v>0.5</v>
      </c>
      <c r="L51" s="4">
        <v>0</v>
      </c>
      <c r="M51" s="4">
        <v>0</v>
      </c>
      <c r="N51" s="4">
        <v>0</v>
      </c>
      <c r="O51" s="4">
        <v>0.5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</row>
    <row r="52" spans="1:38" x14ac:dyDescent="0.25">
      <c r="A52" s="4">
        <v>13</v>
      </c>
      <c r="B52" s="4" t="s">
        <v>556</v>
      </c>
      <c r="C52" s="4" t="s">
        <v>606</v>
      </c>
      <c r="D52" s="4" t="s">
        <v>77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4">
        <v>0</v>
      </c>
      <c r="K52" s="4">
        <v>0</v>
      </c>
      <c r="L52" s="4">
        <v>0.5</v>
      </c>
      <c r="M52" s="4">
        <v>0</v>
      </c>
      <c r="N52" s="4">
        <v>0</v>
      </c>
      <c r="O52" s="4">
        <v>0</v>
      </c>
      <c r="P52" s="4">
        <v>0.5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</row>
    <row r="53" spans="1:38" x14ac:dyDescent="0.25">
      <c r="A53" s="4">
        <v>13</v>
      </c>
      <c r="B53" s="4" t="s">
        <v>558</v>
      </c>
      <c r="C53" s="4" t="s">
        <v>607</v>
      </c>
      <c r="D53" s="4" t="s">
        <v>77</v>
      </c>
      <c r="E53" s="4">
        <v>0</v>
      </c>
      <c r="F53" s="4">
        <v>0</v>
      </c>
      <c r="G53" s="4">
        <v>0</v>
      </c>
      <c r="H53" s="4">
        <v>0</v>
      </c>
      <c r="I53" s="4">
        <v>3</v>
      </c>
      <c r="J53" s="4">
        <v>0</v>
      </c>
      <c r="K53" s="4">
        <v>0</v>
      </c>
      <c r="L53" s="4">
        <v>0</v>
      </c>
      <c r="M53" s="4">
        <v>0.5</v>
      </c>
      <c r="N53" s="4">
        <v>0</v>
      </c>
      <c r="O53" s="4">
        <v>0</v>
      </c>
      <c r="P53" s="4">
        <v>0</v>
      </c>
      <c r="Q53" s="4">
        <v>0.5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</row>
    <row r="54" spans="1:38" x14ac:dyDescent="0.25">
      <c r="A54" s="4">
        <v>14</v>
      </c>
      <c r="B54" s="4" t="s">
        <v>552</v>
      </c>
      <c r="C54" s="4" t="s">
        <v>608</v>
      </c>
      <c r="D54" s="4" t="s">
        <v>82</v>
      </c>
      <c r="E54" s="4">
        <v>0</v>
      </c>
      <c r="F54" s="4">
        <v>3</v>
      </c>
      <c r="G54" s="4">
        <v>0</v>
      </c>
      <c r="H54" s="4">
        <v>0</v>
      </c>
      <c r="I54" s="4">
        <v>0</v>
      </c>
      <c r="J54" s="4">
        <v>0.5</v>
      </c>
      <c r="K54" s="4">
        <v>0</v>
      </c>
      <c r="L54" s="4">
        <v>0</v>
      </c>
      <c r="M54" s="4">
        <v>0</v>
      </c>
      <c r="N54" s="4">
        <v>0.5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</row>
    <row r="55" spans="1:38" x14ac:dyDescent="0.25">
      <c r="A55" s="4">
        <v>14</v>
      </c>
      <c r="B55" s="4" t="s">
        <v>554</v>
      </c>
      <c r="C55" s="4" t="s">
        <v>609</v>
      </c>
      <c r="D55" s="4" t="s">
        <v>82</v>
      </c>
      <c r="E55" s="4">
        <v>0</v>
      </c>
      <c r="F55" s="4">
        <v>0</v>
      </c>
      <c r="G55" s="4">
        <v>3</v>
      </c>
      <c r="H55" s="4">
        <v>0</v>
      </c>
      <c r="I55" s="4">
        <v>0</v>
      </c>
      <c r="J55" s="4">
        <v>0</v>
      </c>
      <c r="K55" s="4">
        <v>0.5</v>
      </c>
      <c r="L55" s="4">
        <v>0</v>
      </c>
      <c r="M55" s="4">
        <v>0</v>
      </c>
      <c r="N55" s="4">
        <v>0</v>
      </c>
      <c r="O55" s="4">
        <v>0.5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</row>
    <row r="56" spans="1:38" x14ac:dyDescent="0.25">
      <c r="A56" s="4">
        <v>14</v>
      </c>
      <c r="B56" s="4" t="s">
        <v>556</v>
      </c>
      <c r="C56" s="4" t="s">
        <v>610</v>
      </c>
      <c r="D56" s="4" t="s">
        <v>82</v>
      </c>
      <c r="E56" s="4">
        <v>0</v>
      </c>
      <c r="F56" s="4">
        <v>0</v>
      </c>
      <c r="G56" s="4">
        <v>0</v>
      </c>
      <c r="H56" s="4">
        <v>3</v>
      </c>
      <c r="I56" s="4">
        <v>0</v>
      </c>
      <c r="J56" s="4">
        <v>0</v>
      </c>
      <c r="K56" s="4">
        <v>0</v>
      </c>
      <c r="L56" s="4">
        <v>0.5</v>
      </c>
      <c r="M56" s="4">
        <v>0</v>
      </c>
      <c r="N56" s="4">
        <v>0</v>
      </c>
      <c r="O56" s="4">
        <v>0</v>
      </c>
      <c r="P56" s="4">
        <v>0.5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</row>
    <row r="57" spans="1:38" x14ac:dyDescent="0.25">
      <c r="A57" s="4">
        <v>14</v>
      </c>
      <c r="B57" s="4" t="s">
        <v>558</v>
      </c>
      <c r="C57" s="4" t="s">
        <v>611</v>
      </c>
      <c r="D57" s="4" t="s">
        <v>82</v>
      </c>
      <c r="E57" s="4">
        <v>0</v>
      </c>
      <c r="F57" s="4">
        <v>0</v>
      </c>
      <c r="G57" s="4">
        <v>0</v>
      </c>
      <c r="H57" s="4">
        <v>0</v>
      </c>
      <c r="I57" s="4">
        <v>3</v>
      </c>
      <c r="J57" s="4">
        <v>0</v>
      </c>
      <c r="K57" s="4">
        <v>0</v>
      </c>
      <c r="L57" s="4">
        <v>0</v>
      </c>
      <c r="M57" s="4">
        <v>0.5</v>
      </c>
      <c r="N57" s="4">
        <v>0</v>
      </c>
      <c r="O57" s="4">
        <v>0</v>
      </c>
      <c r="P57" s="4">
        <v>0</v>
      </c>
      <c r="Q57" s="4">
        <v>0.5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</row>
    <row r="58" spans="1:38" x14ac:dyDescent="0.25">
      <c r="A58" s="4">
        <v>15</v>
      </c>
      <c r="B58" s="4" t="s">
        <v>552</v>
      </c>
      <c r="C58" s="4" t="s">
        <v>612</v>
      </c>
      <c r="D58" s="4" t="s">
        <v>87</v>
      </c>
      <c r="E58" s="4">
        <v>0</v>
      </c>
      <c r="F58" s="4">
        <v>3</v>
      </c>
      <c r="G58" s="4">
        <v>0</v>
      </c>
      <c r="H58" s="4">
        <v>0</v>
      </c>
      <c r="I58" s="4">
        <v>0</v>
      </c>
      <c r="J58" s="4">
        <v>0.5</v>
      </c>
      <c r="K58" s="4">
        <v>0</v>
      </c>
      <c r="L58" s="4">
        <v>0</v>
      </c>
      <c r="M58" s="4">
        <v>0</v>
      </c>
      <c r="N58" s="4">
        <v>0.5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</row>
    <row r="59" spans="1:38" x14ac:dyDescent="0.25">
      <c r="A59" s="4">
        <v>15</v>
      </c>
      <c r="B59" s="4" t="s">
        <v>554</v>
      </c>
      <c r="C59" s="4" t="s">
        <v>613</v>
      </c>
      <c r="D59" s="4" t="s">
        <v>87</v>
      </c>
      <c r="E59" s="4">
        <v>0</v>
      </c>
      <c r="F59" s="4">
        <v>0</v>
      </c>
      <c r="G59" s="4">
        <v>3</v>
      </c>
      <c r="H59" s="4">
        <v>0</v>
      </c>
      <c r="I59" s="4">
        <v>0</v>
      </c>
      <c r="J59" s="4">
        <v>0</v>
      </c>
      <c r="K59" s="4">
        <v>0.5</v>
      </c>
      <c r="L59" s="4">
        <v>0</v>
      </c>
      <c r="M59" s="4">
        <v>0</v>
      </c>
      <c r="N59" s="4">
        <v>0</v>
      </c>
      <c r="O59" s="4">
        <v>0.5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</row>
    <row r="60" spans="1:38" x14ac:dyDescent="0.25">
      <c r="A60" s="4">
        <v>15</v>
      </c>
      <c r="B60" s="4" t="s">
        <v>556</v>
      </c>
      <c r="C60" s="4" t="s">
        <v>614</v>
      </c>
      <c r="D60" s="4" t="s">
        <v>87</v>
      </c>
      <c r="E60" s="4">
        <v>0</v>
      </c>
      <c r="F60" s="4">
        <v>0</v>
      </c>
      <c r="G60" s="4">
        <v>0</v>
      </c>
      <c r="H60" s="4">
        <v>3</v>
      </c>
      <c r="I60" s="4">
        <v>0</v>
      </c>
      <c r="J60" s="4">
        <v>0</v>
      </c>
      <c r="K60" s="4">
        <v>0</v>
      </c>
      <c r="L60" s="4">
        <v>0.5</v>
      </c>
      <c r="M60" s="4">
        <v>0</v>
      </c>
      <c r="N60" s="4">
        <v>0</v>
      </c>
      <c r="O60" s="4">
        <v>0</v>
      </c>
      <c r="P60" s="4">
        <v>0.5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</row>
    <row r="61" spans="1:38" x14ac:dyDescent="0.25">
      <c r="A61" s="4">
        <v>15</v>
      </c>
      <c r="B61" s="4" t="s">
        <v>558</v>
      </c>
      <c r="C61" s="4" t="s">
        <v>615</v>
      </c>
      <c r="D61" s="4" t="s">
        <v>87</v>
      </c>
      <c r="E61" s="4">
        <v>0</v>
      </c>
      <c r="F61" s="4">
        <v>0</v>
      </c>
      <c r="G61" s="4">
        <v>0</v>
      </c>
      <c r="H61" s="4">
        <v>0</v>
      </c>
      <c r="I61" s="4">
        <v>3</v>
      </c>
      <c r="J61" s="4">
        <v>0</v>
      </c>
      <c r="K61" s="4">
        <v>0</v>
      </c>
      <c r="L61" s="4">
        <v>0</v>
      </c>
      <c r="M61" s="4">
        <v>0.5</v>
      </c>
      <c r="N61" s="4">
        <v>0</v>
      </c>
      <c r="O61" s="4">
        <v>0</v>
      </c>
      <c r="P61" s="4">
        <v>0</v>
      </c>
      <c r="Q61" s="4">
        <v>0.5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</row>
    <row r="62" spans="1:38" x14ac:dyDescent="0.25">
      <c r="A62" s="4">
        <v>16</v>
      </c>
      <c r="B62" s="4" t="s">
        <v>552</v>
      </c>
      <c r="C62" s="4" t="s">
        <v>616</v>
      </c>
      <c r="D62" s="4" t="s">
        <v>93</v>
      </c>
      <c r="E62" s="4">
        <v>0</v>
      </c>
      <c r="F62" s="4">
        <v>0.5</v>
      </c>
      <c r="G62" s="4">
        <v>0</v>
      </c>
      <c r="H62" s="4">
        <v>0</v>
      </c>
      <c r="I62" s="4">
        <v>0</v>
      </c>
      <c r="J62" s="4">
        <v>3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</row>
    <row r="63" spans="1:38" x14ac:dyDescent="0.25">
      <c r="A63" s="4">
        <v>16</v>
      </c>
      <c r="B63" s="4" t="s">
        <v>554</v>
      </c>
      <c r="C63" s="4" t="s">
        <v>617</v>
      </c>
      <c r="D63" s="4" t="s">
        <v>93</v>
      </c>
      <c r="E63" s="4">
        <v>0</v>
      </c>
      <c r="F63" s="4">
        <v>0</v>
      </c>
      <c r="G63" s="4">
        <v>0.5</v>
      </c>
      <c r="H63" s="4">
        <v>0</v>
      </c>
      <c r="I63" s="4">
        <v>0</v>
      </c>
      <c r="J63" s="4">
        <v>0</v>
      </c>
      <c r="K63" s="4">
        <v>3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</row>
    <row r="64" spans="1:38" x14ac:dyDescent="0.25">
      <c r="A64" s="4">
        <v>16</v>
      </c>
      <c r="B64" s="4" t="s">
        <v>556</v>
      </c>
      <c r="C64" s="4" t="s">
        <v>618</v>
      </c>
      <c r="D64" s="4" t="s">
        <v>93</v>
      </c>
      <c r="E64" s="4">
        <v>0</v>
      </c>
      <c r="F64" s="4">
        <v>0</v>
      </c>
      <c r="G64" s="4">
        <v>0</v>
      </c>
      <c r="H64" s="4">
        <v>0.5</v>
      </c>
      <c r="I64" s="4">
        <v>0</v>
      </c>
      <c r="J64" s="4">
        <v>0</v>
      </c>
      <c r="K64" s="4">
        <v>0</v>
      </c>
      <c r="L64" s="4">
        <v>3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</row>
    <row r="65" spans="1:38" x14ac:dyDescent="0.25">
      <c r="A65" s="4">
        <v>16</v>
      </c>
      <c r="B65" s="4" t="s">
        <v>558</v>
      </c>
      <c r="C65" s="4" t="s">
        <v>619</v>
      </c>
      <c r="D65" s="4" t="s">
        <v>93</v>
      </c>
      <c r="E65" s="4">
        <v>0</v>
      </c>
      <c r="F65" s="4">
        <v>0</v>
      </c>
      <c r="G65" s="4">
        <v>0</v>
      </c>
      <c r="H65" s="4">
        <v>0</v>
      </c>
      <c r="I65" s="4">
        <v>0.5</v>
      </c>
      <c r="J65" s="4">
        <v>0</v>
      </c>
      <c r="K65" s="4">
        <v>0</v>
      </c>
      <c r="L65" s="4">
        <v>0</v>
      </c>
      <c r="M65" s="4">
        <v>3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</row>
    <row r="66" spans="1:38" x14ac:dyDescent="0.25">
      <c r="A66" s="4">
        <v>17</v>
      </c>
      <c r="B66" s="4" t="s">
        <v>552</v>
      </c>
      <c r="C66" s="4" t="s">
        <v>620</v>
      </c>
      <c r="D66" s="4" t="s">
        <v>98</v>
      </c>
      <c r="E66" s="4">
        <v>0</v>
      </c>
      <c r="F66" s="4">
        <v>0.5</v>
      </c>
      <c r="G66" s="4">
        <v>0</v>
      </c>
      <c r="H66" s="4">
        <v>0</v>
      </c>
      <c r="I66" s="4">
        <v>0</v>
      </c>
      <c r="J66" s="4">
        <v>3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</row>
    <row r="67" spans="1:38" x14ac:dyDescent="0.25">
      <c r="A67" s="4">
        <v>17</v>
      </c>
      <c r="B67" s="4" t="s">
        <v>554</v>
      </c>
      <c r="C67" s="4" t="s">
        <v>621</v>
      </c>
      <c r="D67" s="4" t="s">
        <v>98</v>
      </c>
      <c r="E67" s="4">
        <v>0</v>
      </c>
      <c r="F67" s="4">
        <v>0</v>
      </c>
      <c r="G67" s="4">
        <v>0.5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</row>
    <row r="68" spans="1:38" x14ac:dyDescent="0.25">
      <c r="A68" s="4">
        <v>17</v>
      </c>
      <c r="B68" s="4" t="s">
        <v>556</v>
      </c>
      <c r="C68" s="4" t="s">
        <v>622</v>
      </c>
      <c r="D68" s="4" t="s">
        <v>98</v>
      </c>
      <c r="E68" s="4">
        <v>0</v>
      </c>
      <c r="F68" s="4">
        <v>0</v>
      </c>
      <c r="G68" s="4">
        <v>0</v>
      </c>
      <c r="H68" s="4">
        <v>0.5</v>
      </c>
      <c r="I68" s="4">
        <v>0</v>
      </c>
      <c r="J68" s="4">
        <v>0</v>
      </c>
      <c r="K68" s="4">
        <v>0</v>
      </c>
      <c r="L68" s="4">
        <v>3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</row>
    <row r="69" spans="1:38" x14ac:dyDescent="0.25">
      <c r="A69" s="4">
        <v>17</v>
      </c>
      <c r="B69" s="4" t="s">
        <v>558</v>
      </c>
      <c r="C69" s="4" t="s">
        <v>623</v>
      </c>
      <c r="D69" s="4" t="s">
        <v>98</v>
      </c>
      <c r="E69" s="4">
        <v>0</v>
      </c>
      <c r="F69" s="4">
        <v>0</v>
      </c>
      <c r="G69" s="4">
        <v>0</v>
      </c>
      <c r="H69" s="4">
        <v>0</v>
      </c>
      <c r="I69" s="4">
        <v>0.5</v>
      </c>
      <c r="J69" s="4">
        <v>0</v>
      </c>
      <c r="K69" s="4">
        <v>0</v>
      </c>
      <c r="L69" s="4">
        <v>0</v>
      </c>
      <c r="M69" s="4">
        <v>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</row>
    <row r="70" spans="1:38" x14ac:dyDescent="0.25">
      <c r="A70" s="4">
        <v>18</v>
      </c>
      <c r="B70" s="4" t="s">
        <v>552</v>
      </c>
      <c r="C70" s="4" t="s">
        <v>624</v>
      </c>
      <c r="D70" s="4" t="s">
        <v>103</v>
      </c>
      <c r="E70" s="4">
        <v>0</v>
      </c>
      <c r="F70" s="4">
        <v>0.5</v>
      </c>
      <c r="G70" s="4">
        <v>0</v>
      </c>
      <c r="H70" s="4">
        <v>0</v>
      </c>
      <c r="I70" s="4">
        <v>0</v>
      </c>
      <c r="J70" s="4">
        <v>3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</row>
    <row r="71" spans="1:38" x14ac:dyDescent="0.25">
      <c r="A71" s="4">
        <v>18</v>
      </c>
      <c r="B71" s="4" t="s">
        <v>554</v>
      </c>
      <c r="C71" s="4" t="s">
        <v>625</v>
      </c>
      <c r="D71" s="4" t="s">
        <v>103</v>
      </c>
      <c r="E71" s="4">
        <v>0</v>
      </c>
      <c r="F71" s="4">
        <v>0</v>
      </c>
      <c r="G71" s="4">
        <v>0.5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</row>
    <row r="72" spans="1:38" x14ac:dyDescent="0.25">
      <c r="A72" s="4">
        <v>18</v>
      </c>
      <c r="B72" s="4" t="s">
        <v>556</v>
      </c>
      <c r="C72" s="4" t="s">
        <v>626</v>
      </c>
      <c r="D72" s="4" t="s">
        <v>103</v>
      </c>
      <c r="E72" s="4">
        <v>0</v>
      </c>
      <c r="F72" s="4">
        <v>0</v>
      </c>
      <c r="G72" s="4">
        <v>0</v>
      </c>
      <c r="H72" s="4">
        <v>0.5</v>
      </c>
      <c r="I72" s="4">
        <v>0</v>
      </c>
      <c r="J72" s="4">
        <v>0</v>
      </c>
      <c r="K72" s="4">
        <v>0</v>
      </c>
      <c r="L72" s="4">
        <v>3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</row>
    <row r="73" spans="1:38" x14ac:dyDescent="0.25">
      <c r="A73" s="4">
        <v>18</v>
      </c>
      <c r="B73" s="4" t="s">
        <v>558</v>
      </c>
      <c r="C73" s="4" t="s">
        <v>627</v>
      </c>
      <c r="D73" s="4" t="s">
        <v>103</v>
      </c>
      <c r="E73" s="4">
        <v>0</v>
      </c>
      <c r="F73" s="4">
        <v>0</v>
      </c>
      <c r="G73" s="4">
        <v>0</v>
      </c>
      <c r="H73" s="4">
        <v>0</v>
      </c>
      <c r="I73" s="4">
        <v>0.5</v>
      </c>
      <c r="J73" s="4">
        <v>0</v>
      </c>
      <c r="K73" s="4">
        <v>0</v>
      </c>
      <c r="L73" s="4">
        <v>0</v>
      </c>
      <c r="M73" s="4">
        <v>3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</row>
    <row r="74" spans="1:38" x14ac:dyDescent="0.25">
      <c r="A74" s="4">
        <v>19</v>
      </c>
      <c r="B74" s="4" t="s">
        <v>552</v>
      </c>
      <c r="C74" s="4" t="s">
        <v>628</v>
      </c>
      <c r="D74" s="4" t="s">
        <v>108</v>
      </c>
      <c r="E74" s="4">
        <v>0</v>
      </c>
      <c r="F74" s="4">
        <v>0.5</v>
      </c>
      <c r="G74" s="4">
        <v>0</v>
      </c>
      <c r="H74" s="4">
        <v>0</v>
      </c>
      <c r="I74" s="4">
        <v>0</v>
      </c>
      <c r="J74" s="4">
        <v>3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</row>
    <row r="75" spans="1:38" x14ac:dyDescent="0.25">
      <c r="A75" s="4">
        <v>19</v>
      </c>
      <c r="B75" s="4" t="s">
        <v>554</v>
      </c>
      <c r="C75" s="4" t="s">
        <v>629</v>
      </c>
      <c r="D75" s="4" t="s">
        <v>108</v>
      </c>
      <c r="E75" s="4">
        <v>0</v>
      </c>
      <c r="F75" s="4">
        <v>0</v>
      </c>
      <c r="G75" s="4">
        <v>0.5</v>
      </c>
      <c r="H75" s="4">
        <v>0</v>
      </c>
      <c r="I75" s="4">
        <v>0</v>
      </c>
      <c r="J75" s="4">
        <v>0</v>
      </c>
      <c r="K75" s="4">
        <v>3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</row>
    <row r="76" spans="1:38" x14ac:dyDescent="0.25">
      <c r="A76" s="4">
        <v>19</v>
      </c>
      <c r="B76" s="4" t="s">
        <v>556</v>
      </c>
      <c r="C76" s="4" t="s">
        <v>630</v>
      </c>
      <c r="D76" s="4" t="s">
        <v>108</v>
      </c>
      <c r="E76" s="4">
        <v>0</v>
      </c>
      <c r="F76" s="4">
        <v>0</v>
      </c>
      <c r="G76" s="4">
        <v>0</v>
      </c>
      <c r="H76" s="4">
        <v>0.5</v>
      </c>
      <c r="I76" s="4">
        <v>0</v>
      </c>
      <c r="J76" s="4">
        <v>0</v>
      </c>
      <c r="K76" s="4">
        <v>0</v>
      </c>
      <c r="L76" s="4">
        <v>3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</row>
    <row r="77" spans="1:38" x14ac:dyDescent="0.25">
      <c r="A77" s="4">
        <v>19</v>
      </c>
      <c r="B77" s="4" t="s">
        <v>558</v>
      </c>
      <c r="C77" s="4" t="s">
        <v>631</v>
      </c>
      <c r="D77" s="4" t="s">
        <v>108</v>
      </c>
      <c r="E77" s="4">
        <v>0</v>
      </c>
      <c r="F77" s="4">
        <v>0</v>
      </c>
      <c r="G77" s="4">
        <v>0</v>
      </c>
      <c r="H77" s="4">
        <v>0</v>
      </c>
      <c r="I77" s="4">
        <v>0.5</v>
      </c>
      <c r="J77" s="4">
        <v>0</v>
      </c>
      <c r="K77" s="4">
        <v>0</v>
      </c>
      <c r="L77" s="4">
        <v>0</v>
      </c>
      <c r="M77" s="4">
        <v>3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</row>
    <row r="78" spans="1:38" x14ac:dyDescent="0.25">
      <c r="A78" s="4">
        <v>20</v>
      </c>
      <c r="B78" s="4" t="s">
        <v>552</v>
      </c>
      <c r="C78" s="4" t="s">
        <v>632</v>
      </c>
      <c r="D78" s="4" t="s">
        <v>113</v>
      </c>
      <c r="E78" s="4">
        <v>0</v>
      </c>
      <c r="F78" s="4">
        <v>0.5</v>
      </c>
      <c r="G78" s="4">
        <v>0</v>
      </c>
      <c r="H78" s="4">
        <v>0</v>
      </c>
      <c r="I78" s="4">
        <v>0</v>
      </c>
      <c r="J78" s="4">
        <v>3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</row>
    <row r="79" spans="1:38" x14ac:dyDescent="0.25">
      <c r="A79" s="4">
        <v>20</v>
      </c>
      <c r="B79" s="4" t="s">
        <v>554</v>
      </c>
      <c r="C79" s="4" t="s">
        <v>633</v>
      </c>
      <c r="D79" s="4" t="s">
        <v>113</v>
      </c>
      <c r="E79" s="4">
        <v>0</v>
      </c>
      <c r="F79" s="4">
        <v>0</v>
      </c>
      <c r="G79" s="4">
        <v>0.5</v>
      </c>
      <c r="H79" s="4">
        <v>0</v>
      </c>
      <c r="I79" s="4">
        <v>0</v>
      </c>
      <c r="J79" s="4">
        <v>0</v>
      </c>
      <c r="K79" s="4">
        <v>3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</row>
    <row r="80" spans="1:38" x14ac:dyDescent="0.25">
      <c r="A80" s="4">
        <v>20</v>
      </c>
      <c r="B80" s="4" t="s">
        <v>556</v>
      </c>
      <c r="C80" s="4" t="s">
        <v>634</v>
      </c>
      <c r="D80" s="4" t="s">
        <v>113</v>
      </c>
      <c r="E80" s="4">
        <v>0</v>
      </c>
      <c r="F80" s="4">
        <v>0</v>
      </c>
      <c r="G80" s="4">
        <v>0</v>
      </c>
      <c r="H80" s="4">
        <v>0.5</v>
      </c>
      <c r="I80" s="4">
        <v>0</v>
      </c>
      <c r="J80" s="4">
        <v>0</v>
      </c>
      <c r="K80" s="4">
        <v>0</v>
      </c>
      <c r="L80" s="4">
        <v>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</row>
    <row r="81" spans="1:38" x14ac:dyDescent="0.25">
      <c r="A81" s="4">
        <v>20</v>
      </c>
      <c r="B81" s="4" t="s">
        <v>558</v>
      </c>
      <c r="C81" s="4" t="s">
        <v>635</v>
      </c>
      <c r="D81" s="4" t="s">
        <v>113</v>
      </c>
      <c r="E81" s="4">
        <v>0</v>
      </c>
      <c r="F81" s="4">
        <v>0</v>
      </c>
      <c r="G81" s="4">
        <v>0</v>
      </c>
      <c r="H81" s="4">
        <v>0</v>
      </c>
      <c r="I81" s="4">
        <v>0.5</v>
      </c>
      <c r="J81" s="4">
        <v>0</v>
      </c>
      <c r="K81" s="4">
        <v>0</v>
      </c>
      <c r="L81" s="4">
        <v>0</v>
      </c>
      <c r="M81" s="4">
        <v>3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</row>
    <row r="82" spans="1:38" x14ac:dyDescent="0.25">
      <c r="A82" s="4">
        <v>21</v>
      </c>
      <c r="B82" s="4" t="s">
        <v>552</v>
      </c>
      <c r="C82" s="4" t="s">
        <v>636</v>
      </c>
      <c r="D82" s="4" t="s">
        <v>118</v>
      </c>
      <c r="E82" s="4">
        <v>0</v>
      </c>
      <c r="F82" s="4">
        <v>0.5</v>
      </c>
      <c r="G82" s="4">
        <v>0</v>
      </c>
      <c r="H82" s="4">
        <v>0</v>
      </c>
      <c r="I82" s="4">
        <v>0</v>
      </c>
      <c r="J82" s="4">
        <v>3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</row>
    <row r="83" spans="1:38" x14ac:dyDescent="0.25">
      <c r="A83" s="4">
        <v>21</v>
      </c>
      <c r="B83" s="4" t="s">
        <v>554</v>
      </c>
      <c r="C83" s="4" t="s">
        <v>637</v>
      </c>
      <c r="D83" s="4" t="s">
        <v>118</v>
      </c>
      <c r="E83" s="4">
        <v>0</v>
      </c>
      <c r="F83" s="4">
        <v>0</v>
      </c>
      <c r="G83" s="4">
        <v>0.5</v>
      </c>
      <c r="H83" s="4">
        <v>0</v>
      </c>
      <c r="I83" s="4">
        <v>0</v>
      </c>
      <c r="J83" s="4">
        <v>0</v>
      </c>
      <c r="K83" s="4">
        <v>3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</row>
    <row r="84" spans="1:38" x14ac:dyDescent="0.25">
      <c r="A84" s="4">
        <v>21</v>
      </c>
      <c r="B84" s="4" t="s">
        <v>556</v>
      </c>
      <c r="C84" s="4" t="s">
        <v>638</v>
      </c>
      <c r="D84" s="4" t="s">
        <v>118</v>
      </c>
      <c r="E84" s="4">
        <v>0</v>
      </c>
      <c r="F84" s="4">
        <v>0</v>
      </c>
      <c r="G84" s="4">
        <v>0</v>
      </c>
      <c r="H84" s="4">
        <v>0.5</v>
      </c>
      <c r="I84" s="4">
        <v>0</v>
      </c>
      <c r="J84" s="4">
        <v>0</v>
      </c>
      <c r="K84" s="4">
        <v>0</v>
      </c>
      <c r="L84" s="4">
        <v>3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</row>
    <row r="85" spans="1:38" x14ac:dyDescent="0.25">
      <c r="A85" s="4">
        <v>21</v>
      </c>
      <c r="B85" s="4" t="s">
        <v>558</v>
      </c>
      <c r="C85" s="4" t="s">
        <v>639</v>
      </c>
      <c r="D85" s="4" t="s">
        <v>118</v>
      </c>
      <c r="E85" s="4">
        <v>0</v>
      </c>
      <c r="F85" s="4">
        <v>0</v>
      </c>
      <c r="G85" s="4">
        <v>0</v>
      </c>
      <c r="H85" s="4">
        <v>0</v>
      </c>
      <c r="I85" s="4">
        <v>0.5</v>
      </c>
      <c r="J85" s="4">
        <v>0</v>
      </c>
      <c r="K85" s="4">
        <v>0</v>
      </c>
      <c r="L85" s="4">
        <v>0</v>
      </c>
      <c r="M85" s="4">
        <v>3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</row>
    <row r="86" spans="1:38" x14ac:dyDescent="0.25">
      <c r="A86" s="4">
        <v>22</v>
      </c>
      <c r="B86" s="4" t="s">
        <v>552</v>
      </c>
      <c r="C86" s="4" t="s">
        <v>640</v>
      </c>
      <c r="D86" s="4" t="s">
        <v>122</v>
      </c>
      <c r="E86" s="4">
        <v>0</v>
      </c>
      <c r="F86" s="4">
        <v>0.5</v>
      </c>
      <c r="G86" s="4">
        <v>0</v>
      </c>
      <c r="H86" s="4">
        <v>0</v>
      </c>
      <c r="I86" s="4">
        <v>0</v>
      </c>
      <c r="J86" s="4">
        <v>3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</row>
    <row r="87" spans="1:38" x14ac:dyDescent="0.25">
      <c r="A87" s="4">
        <v>22</v>
      </c>
      <c r="B87" s="4" t="s">
        <v>554</v>
      </c>
      <c r="C87" s="4" t="s">
        <v>641</v>
      </c>
      <c r="D87" s="4" t="s">
        <v>122</v>
      </c>
      <c r="E87" s="4">
        <v>0</v>
      </c>
      <c r="F87" s="4">
        <v>0</v>
      </c>
      <c r="G87" s="4">
        <v>0.5</v>
      </c>
      <c r="H87" s="4">
        <v>0</v>
      </c>
      <c r="I87" s="4">
        <v>0</v>
      </c>
      <c r="J87" s="4">
        <v>0</v>
      </c>
      <c r="K87" s="4">
        <v>3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</row>
    <row r="88" spans="1:38" x14ac:dyDescent="0.25">
      <c r="A88" s="4">
        <v>22</v>
      </c>
      <c r="B88" s="4" t="s">
        <v>556</v>
      </c>
      <c r="C88" s="4" t="s">
        <v>642</v>
      </c>
      <c r="D88" s="4" t="s">
        <v>122</v>
      </c>
      <c r="E88" s="4">
        <v>0</v>
      </c>
      <c r="F88" s="4">
        <v>0</v>
      </c>
      <c r="G88" s="4">
        <v>0</v>
      </c>
      <c r="H88" s="4">
        <v>0.5</v>
      </c>
      <c r="I88" s="4">
        <v>0</v>
      </c>
      <c r="J88" s="4">
        <v>0</v>
      </c>
      <c r="K88" s="4">
        <v>0</v>
      </c>
      <c r="L88" s="4">
        <v>3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</row>
    <row r="89" spans="1:38" x14ac:dyDescent="0.25">
      <c r="A89" s="4">
        <v>22</v>
      </c>
      <c r="B89" s="4" t="s">
        <v>558</v>
      </c>
      <c r="C89" s="4" t="s">
        <v>643</v>
      </c>
      <c r="D89" s="4" t="s">
        <v>122</v>
      </c>
      <c r="E89" s="4">
        <v>0</v>
      </c>
      <c r="F89" s="4">
        <v>0</v>
      </c>
      <c r="G89" s="4">
        <v>0</v>
      </c>
      <c r="H89" s="4">
        <v>0</v>
      </c>
      <c r="I89" s="4">
        <v>0.5</v>
      </c>
      <c r="J89" s="4">
        <v>0</v>
      </c>
      <c r="K89" s="4">
        <v>0</v>
      </c>
      <c r="L89" s="4">
        <v>0</v>
      </c>
      <c r="M89" s="4">
        <v>3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</row>
    <row r="90" spans="1:38" x14ac:dyDescent="0.25">
      <c r="A90" s="4">
        <v>23</v>
      </c>
      <c r="B90" s="4" t="s">
        <v>552</v>
      </c>
      <c r="C90" s="4" t="s">
        <v>644</v>
      </c>
      <c r="D90" s="4" t="s">
        <v>128</v>
      </c>
      <c r="E90" s="4">
        <v>0</v>
      </c>
      <c r="F90" s="4">
        <v>3</v>
      </c>
      <c r="G90" s="4">
        <v>0</v>
      </c>
      <c r="H90" s="4">
        <v>0</v>
      </c>
      <c r="I90" s="4">
        <v>0</v>
      </c>
      <c r="J90" s="4">
        <v>0.5</v>
      </c>
      <c r="K90" s="4">
        <v>0</v>
      </c>
      <c r="L90" s="4">
        <v>0</v>
      </c>
      <c r="M90" s="4">
        <v>0</v>
      </c>
      <c r="N90" s="4">
        <v>0.5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</row>
    <row r="91" spans="1:38" x14ac:dyDescent="0.25">
      <c r="A91" s="4">
        <v>23</v>
      </c>
      <c r="B91" s="4" t="s">
        <v>554</v>
      </c>
      <c r="C91" s="4" t="s">
        <v>645</v>
      </c>
      <c r="D91" s="4" t="s">
        <v>128</v>
      </c>
      <c r="E91" s="4">
        <v>0</v>
      </c>
      <c r="F91" s="4">
        <v>0</v>
      </c>
      <c r="G91" s="4">
        <v>3</v>
      </c>
      <c r="H91" s="4">
        <v>0</v>
      </c>
      <c r="I91" s="4">
        <v>0</v>
      </c>
      <c r="J91" s="4">
        <v>0</v>
      </c>
      <c r="K91" s="4">
        <v>0.5</v>
      </c>
      <c r="L91" s="4">
        <v>0</v>
      </c>
      <c r="M91" s="4">
        <v>0</v>
      </c>
      <c r="N91" s="4">
        <v>0</v>
      </c>
      <c r="O91" s="4">
        <v>0.5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</row>
    <row r="92" spans="1:38" x14ac:dyDescent="0.25">
      <c r="A92" s="4">
        <v>23</v>
      </c>
      <c r="B92" s="4" t="s">
        <v>556</v>
      </c>
      <c r="C92" s="4" t="s">
        <v>646</v>
      </c>
      <c r="D92" s="4" t="s">
        <v>128</v>
      </c>
      <c r="E92" s="4">
        <v>0</v>
      </c>
      <c r="F92" s="4">
        <v>0</v>
      </c>
      <c r="G92" s="4">
        <v>0</v>
      </c>
      <c r="H92" s="4">
        <v>3</v>
      </c>
      <c r="I92" s="4">
        <v>0</v>
      </c>
      <c r="J92" s="4">
        <v>0</v>
      </c>
      <c r="K92" s="4">
        <v>0</v>
      </c>
      <c r="L92" s="4">
        <v>0.5</v>
      </c>
      <c r="M92" s="4">
        <v>0</v>
      </c>
      <c r="N92" s="4">
        <v>0</v>
      </c>
      <c r="O92" s="4">
        <v>0</v>
      </c>
      <c r="P92" s="4">
        <v>0.5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</row>
    <row r="93" spans="1:38" x14ac:dyDescent="0.25">
      <c r="A93" s="4">
        <v>23</v>
      </c>
      <c r="B93" s="4" t="s">
        <v>558</v>
      </c>
      <c r="C93" s="4" t="s">
        <v>647</v>
      </c>
      <c r="D93" s="4" t="s">
        <v>128</v>
      </c>
      <c r="E93" s="4">
        <v>0</v>
      </c>
      <c r="F93" s="4">
        <v>0</v>
      </c>
      <c r="G93" s="4">
        <v>0</v>
      </c>
      <c r="H93" s="4">
        <v>0</v>
      </c>
      <c r="I93" s="4">
        <v>3</v>
      </c>
      <c r="J93" s="4">
        <v>0</v>
      </c>
      <c r="K93" s="4">
        <v>0</v>
      </c>
      <c r="L93" s="4">
        <v>0</v>
      </c>
      <c r="M93" s="4">
        <v>0.5</v>
      </c>
      <c r="N93" s="4">
        <v>0</v>
      </c>
      <c r="O93" s="4">
        <v>0</v>
      </c>
      <c r="P93" s="4">
        <v>0</v>
      </c>
      <c r="Q93" s="4">
        <v>0.5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</row>
    <row r="94" spans="1:38" x14ac:dyDescent="0.25">
      <c r="A94" s="4">
        <v>24</v>
      </c>
      <c r="B94" s="4" t="s">
        <v>552</v>
      </c>
      <c r="C94" s="4" t="s">
        <v>648</v>
      </c>
      <c r="D94" s="4" t="s">
        <v>133</v>
      </c>
      <c r="E94" s="4">
        <v>0</v>
      </c>
      <c r="F94" s="4">
        <v>3</v>
      </c>
      <c r="G94" s="4">
        <v>0</v>
      </c>
      <c r="H94" s="4">
        <v>0</v>
      </c>
      <c r="I94" s="4">
        <v>0</v>
      </c>
      <c r="J94" s="4">
        <v>0.5</v>
      </c>
      <c r="K94" s="4">
        <v>0</v>
      </c>
      <c r="L94" s="4">
        <v>0</v>
      </c>
      <c r="M94" s="4">
        <v>0</v>
      </c>
      <c r="N94" s="4">
        <v>0.5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</row>
    <row r="95" spans="1:38" x14ac:dyDescent="0.25">
      <c r="A95" s="4">
        <v>24</v>
      </c>
      <c r="B95" s="4" t="s">
        <v>554</v>
      </c>
      <c r="C95" s="4" t="s">
        <v>649</v>
      </c>
      <c r="D95" s="4" t="s">
        <v>133</v>
      </c>
      <c r="E95" s="4">
        <v>0</v>
      </c>
      <c r="F95" s="4">
        <v>0</v>
      </c>
      <c r="G95" s="4">
        <v>3</v>
      </c>
      <c r="H95" s="4">
        <v>0</v>
      </c>
      <c r="I95" s="4">
        <v>0</v>
      </c>
      <c r="J95" s="4">
        <v>0</v>
      </c>
      <c r="K95" s="4">
        <v>0.5</v>
      </c>
      <c r="L95" s="4">
        <v>0</v>
      </c>
      <c r="M95" s="4">
        <v>0</v>
      </c>
      <c r="N95" s="4">
        <v>0</v>
      </c>
      <c r="O95" s="4">
        <v>0.5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</row>
    <row r="96" spans="1:38" x14ac:dyDescent="0.25">
      <c r="A96" s="4">
        <v>24</v>
      </c>
      <c r="B96" s="4" t="s">
        <v>556</v>
      </c>
      <c r="C96" s="4" t="s">
        <v>650</v>
      </c>
      <c r="D96" s="4" t="s">
        <v>133</v>
      </c>
      <c r="E96" s="4">
        <v>0</v>
      </c>
      <c r="F96" s="4">
        <v>0</v>
      </c>
      <c r="G96" s="4">
        <v>0</v>
      </c>
      <c r="H96" s="4">
        <v>3</v>
      </c>
      <c r="I96" s="4">
        <v>0</v>
      </c>
      <c r="J96" s="4">
        <v>0</v>
      </c>
      <c r="K96" s="4">
        <v>0</v>
      </c>
      <c r="L96" s="4">
        <v>0.5</v>
      </c>
      <c r="M96" s="4">
        <v>0</v>
      </c>
      <c r="N96" s="4">
        <v>0</v>
      </c>
      <c r="O96" s="4">
        <v>0</v>
      </c>
      <c r="P96" s="4">
        <v>0.5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</row>
    <row r="97" spans="1:38" x14ac:dyDescent="0.25">
      <c r="A97" s="4">
        <v>24</v>
      </c>
      <c r="B97" s="4" t="s">
        <v>558</v>
      </c>
      <c r="C97" s="4" t="s">
        <v>651</v>
      </c>
      <c r="D97" s="4" t="s">
        <v>133</v>
      </c>
      <c r="E97" s="4">
        <v>0</v>
      </c>
      <c r="F97" s="4">
        <v>0</v>
      </c>
      <c r="G97" s="4">
        <v>0</v>
      </c>
      <c r="H97" s="4">
        <v>0</v>
      </c>
      <c r="I97" s="4">
        <v>3</v>
      </c>
      <c r="J97" s="4">
        <v>0</v>
      </c>
      <c r="K97" s="4">
        <v>0</v>
      </c>
      <c r="L97" s="4">
        <v>0</v>
      </c>
      <c r="M97" s="4">
        <v>0.5</v>
      </c>
      <c r="N97" s="4">
        <v>0</v>
      </c>
      <c r="O97" s="4">
        <v>0</v>
      </c>
      <c r="P97" s="4">
        <v>0</v>
      </c>
      <c r="Q97" s="4">
        <v>0.5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</row>
    <row r="98" spans="1:38" x14ac:dyDescent="0.25">
      <c r="A98" s="4">
        <v>25</v>
      </c>
      <c r="B98" s="4" t="s">
        <v>552</v>
      </c>
      <c r="C98" s="4" t="s">
        <v>652</v>
      </c>
      <c r="D98" s="4" t="s">
        <v>138</v>
      </c>
      <c r="E98" s="4">
        <v>0</v>
      </c>
      <c r="F98" s="4">
        <v>3</v>
      </c>
      <c r="G98" s="4">
        <v>0</v>
      </c>
      <c r="H98" s="4">
        <v>0</v>
      </c>
      <c r="I98" s="4">
        <v>0</v>
      </c>
      <c r="J98" s="4">
        <v>0.5</v>
      </c>
      <c r="K98" s="4">
        <v>0</v>
      </c>
      <c r="L98" s="4">
        <v>0</v>
      </c>
      <c r="M98" s="4">
        <v>0</v>
      </c>
      <c r="N98" s="4">
        <v>0.5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</row>
    <row r="99" spans="1:38" x14ac:dyDescent="0.25">
      <c r="A99" s="4">
        <v>25</v>
      </c>
      <c r="B99" s="4" t="s">
        <v>554</v>
      </c>
      <c r="C99" s="4" t="s">
        <v>653</v>
      </c>
      <c r="D99" s="4" t="s">
        <v>138</v>
      </c>
      <c r="E99" s="4">
        <v>0</v>
      </c>
      <c r="F99" s="4">
        <v>0</v>
      </c>
      <c r="G99" s="4">
        <v>3</v>
      </c>
      <c r="H99" s="4">
        <v>0</v>
      </c>
      <c r="I99" s="4">
        <v>0</v>
      </c>
      <c r="J99" s="4">
        <v>0</v>
      </c>
      <c r="K99" s="4">
        <v>0.5</v>
      </c>
      <c r="L99" s="4">
        <v>0</v>
      </c>
      <c r="M99" s="4">
        <v>0</v>
      </c>
      <c r="N99" s="4">
        <v>0</v>
      </c>
      <c r="O99" s="4">
        <v>0.5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</row>
    <row r="100" spans="1:38" x14ac:dyDescent="0.25">
      <c r="A100" s="4">
        <v>25</v>
      </c>
      <c r="B100" s="4" t="s">
        <v>556</v>
      </c>
      <c r="C100" s="4" t="s">
        <v>654</v>
      </c>
      <c r="D100" s="4" t="s">
        <v>138</v>
      </c>
      <c r="E100" s="4">
        <v>0</v>
      </c>
      <c r="F100" s="4">
        <v>0</v>
      </c>
      <c r="G100" s="4">
        <v>0</v>
      </c>
      <c r="H100" s="4">
        <v>3</v>
      </c>
      <c r="I100" s="4">
        <v>0</v>
      </c>
      <c r="J100" s="4">
        <v>0</v>
      </c>
      <c r="K100" s="4">
        <v>0</v>
      </c>
      <c r="L100" s="4">
        <v>0.5</v>
      </c>
      <c r="M100" s="4">
        <v>0</v>
      </c>
      <c r="N100" s="4">
        <v>0</v>
      </c>
      <c r="O100" s="4">
        <v>0</v>
      </c>
      <c r="P100" s="4">
        <v>0.5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</row>
    <row r="101" spans="1:38" x14ac:dyDescent="0.25">
      <c r="A101" s="4">
        <v>25</v>
      </c>
      <c r="B101" s="4" t="s">
        <v>558</v>
      </c>
      <c r="C101" s="4" t="s">
        <v>655</v>
      </c>
      <c r="D101" s="4" t="s">
        <v>138</v>
      </c>
      <c r="E101" s="4">
        <v>0</v>
      </c>
      <c r="F101" s="4">
        <v>0</v>
      </c>
      <c r="G101" s="4">
        <v>0</v>
      </c>
      <c r="H101" s="4">
        <v>0</v>
      </c>
      <c r="I101" s="4">
        <v>3</v>
      </c>
      <c r="J101" s="4">
        <v>0</v>
      </c>
      <c r="K101" s="4">
        <v>0</v>
      </c>
      <c r="L101" s="4">
        <v>0</v>
      </c>
      <c r="M101" s="4">
        <v>0.5</v>
      </c>
      <c r="N101" s="4">
        <v>0</v>
      </c>
      <c r="O101" s="4">
        <v>0</v>
      </c>
      <c r="P101" s="4">
        <v>0</v>
      </c>
      <c r="Q101" s="4">
        <v>0.5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</row>
    <row r="102" spans="1:38" x14ac:dyDescent="0.25">
      <c r="A102" s="4">
        <v>26</v>
      </c>
      <c r="B102" s="4" t="s">
        <v>552</v>
      </c>
      <c r="C102" s="4" t="s">
        <v>656</v>
      </c>
      <c r="D102" s="4" t="s">
        <v>143</v>
      </c>
      <c r="E102" s="4">
        <v>0</v>
      </c>
      <c r="F102" s="4">
        <v>3</v>
      </c>
      <c r="G102" s="4">
        <v>0</v>
      </c>
      <c r="H102" s="4">
        <v>0</v>
      </c>
      <c r="I102" s="4">
        <v>0</v>
      </c>
      <c r="J102" s="4">
        <v>0.5</v>
      </c>
      <c r="K102" s="4">
        <v>0</v>
      </c>
      <c r="L102" s="4">
        <v>0</v>
      </c>
      <c r="M102" s="4">
        <v>0</v>
      </c>
      <c r="N102" s="4">
        <v>0.5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</row>
    <row r="103" spans="1:38" x14ac:dyDescent="0.25">
      <c r="A103" s="4">
        <v>26</v>
      </c>
      <c r="B103" s="4" t="s">
        <v>554</v>
      </c>
      <c r="C103" s="4" t="s">
        <v>657</v>
      </c>
      <c r="D103" s="4" t="s">
        <v>143</v>
      </c>
      <c r="E103" s="4">
        <v>0</v>
      </c>
      <c r="F103" s="4">
        <v>0</v>
      </c>
      <c r="G103" s="4">
        <v>3</v>
      </c>
      <c r="H103" s="4">
        <v>0</v>
      </c>
      <c r="I103" s="4">
        <v>0</v>
      </c>
      <c r="J103" s="4">
        <v>0</v>
      </c>
      <c r="K103" s="4">
        <v>0.5</v>
      </c>
      <c r="L103" s="4">
        <v>0</v>
      </c>
      <c r="M103" s="4">
        <v>0</v>
      </c>
      <c r="N103" s="4">
        <v>0</v>
      </c>
      <c r="O103" s="4">
        <v>0.5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</row>
    <row r="104" spans="1:38" x14ac:dyDescent="0.25">
      <c r="A104" s="4">
        <v>26</v>
      </c>
      <c r="B104" s="4" t="s">
        <v>556</v>
      </c>
      <c r="C104" s="4" t="s">
        <v>658</v>
      </c>
      <c r="D104" s="4" t="s">
        <v>143</v>
      </c>
      <c r="E104" s="4">
        <v>0</v>
      </c>
      <c r="F104" s="4">
        <v>0</v>
      </c>
      <c r="G104" s="4">
        <v>0</v>
      </c>
      <c r="H104" s="4">
        <v>3</v>
      </c>
      <c r="I104" s="4">
        <v>0</v>
      </c>
      <c r="J104" s="4">
        <v>0</v>
      </c>
      <c r="K104" s="4">
        <v>0</v>
      </c>
      <c r="L104" s="4">
        <v>0.5</v>
      </c>
      <c r="M104" s="4">
        <v>0</v>
      </c>
      <c r="N104" s="4">
        <v>0</v>
      </c>
      <c r="O104" s="4">
        <v>0</v>
      </c>
      <c r="P104" s="4">
        <v>0.5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</row>
    <row r="105" spans="1:38" x14ac:dyDescent="0.25">
      <c r="A105" s="4">
        <v>26</v>
      </c>
      <c r="B105" s="4" t="s">
        <v>558</v>
      </c>
      <c r="C105" s="4" t="s">
        <v>659</v>
      </c>
      <c r="D105" s="4" t="s">
        <v>143</v>
      </c>
      <c r="E105" s="4">
        <v>0</v>
      </c>
      <c r="F105" s="4">
        <v>0</v>
      </c>
      <c r="G105" s="4">
        <v>0</v>
      </c>
      <c r="H105" s="4">
        <v>0</v>
      </c>
      <c r="I105" s="4">
        <v>3</v>
      </c>
      <c r="J105" s="4">
        <v>0</v>
      </c>
      <c r="K105" s="4">
        <v>0</v>
      </c>
      <c r="L105" s="4">
        <v>0</v>
      </c>
      <c r="M105" s="4">
        <v>0.5</v>
      </c>
      <c r="N105" s="4">
        <v>0</v>
      </c>
      <c r="O105" s="4">
        <v>0</v>
      </c>
      <c r="P105" s="4">
        <v>0</v>
      </c>
      <c r="Q105" s="4">
        <v>0.5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</row>
    <row r="106" spans="1:38" x14ac:dyDescent="0.25">
      <c r="A106" s="4">
        <v>27</v>
      </c>
      <c r="B106" s="4" t="s">
        <v>552</v>
      </c>
      <c r="C106" s="4" t="s">
        <v>660</v>
      </c>
      <c r="D106" s="4" t="s">
        <v>148</v>
      </c>
      <c r="E106" s="4">
        <v>0</v>
      </c>
      <c r="F106" s="4">
        <v>3</v>
      </c>
      <c r="G106" s="4">
        <v>0</v>
      </c>
      <c r="H106" s="4">
        <v>0</v>
      </c>
      <c r="I106" s="4">
        <v>0</v>
      </c>
      <c r="J106" s="4">
        <v>0.5</v>
      </c>
      <c r="K106" s="4">
        <v>0</v>
      </c>
      <c r="L106" s="4">
        <v>0</v>
      </c>
      <c r="M106" s="4">
        <v>0</v>
      </c>
      <c r="N106" s="4">
        <v>0.5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</row>
    <row r="107" spans="1:38" x14ac:dyDescent="0.25">
      <c r="A107" s="4">
        <v>27</v>
      </c>
      <c r="B107" s="4" t="s">
        <v>554</v>
      </c>
      <c r="C107" s="4" t="s">
        <v>661</v>
      </c>
      <c r="D107" s="4" t="s">
        <v>148</v>
      </c>
      <c r="E107" s="4">
        <v>0</v>
      </c>
      <c r="F107" s="4">
        <v>0</v>
      </c>
      <c r="G107" s="4">
        <v>3</v>
      </c>
      <c r="H107" s="4">
        <v>0</v>
      </c>
      <c r="I107" s="4">
        <v>0</v>
      </c>
      <c r="J107" s="4">
        <v>0</v>
      </c>
      <c r="K107" s="4">
        <v>0.5</v>
      </c>
      <c r="L107" s="4">
        <v>0</v>
      </c>
      <c r="M107" s="4">
        <v>0</v>
      </c>
      <c r="N107" s="4">
        <v>0</v>
      </c>
      <c r="O107" s="4">
        <v>0.5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</row>
    <row r="108" spans="1:38" x14ac:dyDescent="0.25">
      <c r="A108" s="4">
        <v>27</v>
      </c>
      <c r="B108" s="4" t="s">
        <v>556</v>
      </c>
      <c r="C108" s="4" t="s">
        <v>662</v>
      </c>
      <c r="D108" s="4" t="s">
        <v>148</v>
      </c>
      <c r="E108" s="4">
        <v>0</v>
      </c>
      <c r="F108" s="4">
        <v>0</v>
      </c>
      <c r="G108" s="4">
        <v>0</v>
      </c>
      <c r="H108" s="4">
        <v>3</v>
      </c>
      <c r="I108" s="4">
        <v>0</v>
      </c>
      <c r="J108" s="4">
        <v>0</v>
      </c>
      <c r="K108" s="4">
        <v>0</v>
      </c>
      <c r="L108" s="4">
        <v>0.5</v>
      </c>
      <c r="M108" s="4">
        <v>0</v>
      </c>
      <c r="N108" s="4">
        <v>0</v>
      </c>
      <c r="O108" s="4">
        <v>0</v>
      </c>
      <c r="P108" s="4">
        <v>0.5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</row>
    <row r="109" spans="1:38" x14ac:dyDescent="0.25">
      <c r="A109" s="4">
        <v>27</v>
      </c>
      <c r="B109" s="4" t="s">
        <v>558</v>
      </c>
      <c r="C109" s="4" t="s">
        <v>663</v>
      </c>
      <c r="D109" s="4" t="s">
        <v>148</v>
      </c>
      <c r="E109" s="4">
        <v>0</v>
      </c>
      <c r="F109" s="4">
        <v>0</v>
      </c>
      <c r="G109" s="4">
        <v>0</v>
      </c>
      <c r="H109" s="4">
        <v>0</v>
      </c>
      <c r="I109" s="4">
        <v>3</v>
      </c>
      <c r="J109" s="4">
        <v>0</v>
      </c>
      <c r="K109" s="4">
        <v>0</v>
      </c>
      <c r="L109" s="4">
        <v>0</v>
      </c>
      <c r="M109" s="4">
        <v>0.5</v>
      </c>
      <c r="N109" s="4">
        <v>0</v>
      </c>
      <c r="O109" s="4">
        <v>0</v>
      </c>
      <c r="P109" s="4">
        <v>0</v>
      </c>
      <c r="Q109" s="4">
        <v>0.5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</row>
    <row r="110" spans="1:38" x14ac:dyDescent="0.25">
      <c r="A110" s="4">
        <v>28</v>
      </c>
      <c r="B110" s="4" t="s">
        <v>552</v>
      </c>
      <c r="C110" s="4" t="s">
        <v>664</v>
      </c>
      <c r="D110" s="4" t="s">
        <v>153</v>
      </c>
      <c r="E110" s="4">
        <v>0</v>
      </c>
      <c r="F110" s="4">
        <v>3</v>
      </c>
      <c r="G110" s="4">
        <v>0</v>
      </c>
      <c r="H110" s="4">
        <v>0</v>
      </c>
      <c r="I110" s="4">
        <v>0</v>
      </c>
      <c r="J110" s="4">
        <v>0.5</v>
      </c>
      <c r="K110" s="4">
        <v>0</v>
      </c>
      <c r="L110" s="4">
        <v>0</v>
      </c>
      <c r="M110" s="4">
        <v>0</v>
      </c>
      <c r="N110" s="4">
        <v>0.5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</row>
    <row r="111" spans="1:38" x14ac:dyDescent="0.25">
      <c r="A111" s="4">
        <v>28</v>
      </c>
      <c r="B111" s="4" t="s">
        <v>554</v>
      </c>
      <c r="C111" s="4" t="s">
        <v>665</v>
      </c>
      <c r="D111" s="4" t="s">
        <v>153</v>
      </c>
      <c r="E111" s="4">
        <v>0</v>
      </c>
      <c r="F111" s="4">
        <v>0</v>
      </c>
      <c r="G111" s="4">
        <v>3</v>
      </c>
      <c r="H111" s="4">
        <v>0</v>
      </c>
      <c r="I111" s="4">
        <v>0</v>
      </c>
      <c r="J111" s="4">
        <v>0</v>
      </c>
      <c r="K111" s="4">
        <v>0.5</v>
      </c>
      <c r="L111" s="4">
        <v>0</v>
      </c>
      <c r="M111" s="4">
        <v>0</v>
      </c>
      <c r="N111" s="4">
        <v>0</v>
      </c>
      <c r="O111" s="4">
        <v>0.5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</row>
    <row r="112" spans="1:38" x14ac:dyDescent="0.25">
      <c r="A112" s="4">
        <v>28</v>
      </c>
      <c r="B112" s="4" t="s">
        <v>556</v>
      </c>
      <c r="C112" s="4" t="s">
        <v>666</v>
      </c>
      <c r="D112" s="4" t="s">
        <v>153</v>
      </c>
      <c r="E112" s="4">
        <v>0</v>
      </c>
      <c r="F112" s="4">
        <v>0</v>
      </c>
      <c r="G112" s="4">
        <v>0</v>
      </c>
      <c r="H112" s="4">
        <v>3</v>
      </c>
      <c r="I112" s="4">
        <v>0</v>
      </c>
      <c r="J112" s="4">
        <v>0</v>
      </c>
      <c r="K112" s="4">
        <v>0</v>
      </c>
      <c r="L112" s="4">
        <v>0.5</v>
      </c>
      <c r="M112" s="4">
        <v>0</v>
      </c>
      <c r="N112" s="4">
        <v>0</v>
      </c>
      <c r="O112" s="4">
        <v>0</v>
      </c>
      <c r="P112" s="4">
        <v>0.5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</row>
    <row r="113" spans="1:38" x14ac:dyDescent="0.25">
      <c r="A113" s="4">
        <v>28</v>
      </c>
      <c r="B113" s="4" t="s">
        <v>558</v>
      </c>
      <c r="C113" s="4" t="s">
        <v>667</v>
      </c>
      <c r="D113" s="4" t="s">
        <v>153</v>
      </c>
      <c r="E113" s="4">
        <v>0</v>
      </c>
      <c r="F113" s="4">
        <v>0</v>
      </c>
      <c r="G113" s="4">
        <v>0</v>
      </c>
      <c r="H113" s="4">
        <v>0</v>
      </c>
      <c r="I113" s="4">
        <v>3</v>
      </c>
      <c r="J113" s="4">
        <v>0</v>
      </c>
      <c r="K113" s="4">
        <v>0</v>
      </c>
      <c r="L113" s="4">
        <v>0</v>
      </c>
      <c r="M113" s="4">
        <v>0.5</v>
      </c>
      <c r="N113" s="4">
        <v>0</v>
      </c>
      <c r="O113" s="4">
        <v>0</v>
      </c>
      <c r="P113" s="4">
        <v>0</v>
      </c>
      <c r="Q113" s="4">
        <v>0.5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</row>
    <row r="114" spans="1:38" x14ac:dyDescent="0.25">
      <c r="A114" s="4">
        <v>29</v>
      </c>
      <c r="B114" s="4" t="s">
        <v>552</v>
      </c>
      <c r="C114" s="4" t="s">
        <v>668</v>
      </c>
      <c r="D114" s="4" t="s">
        <v>158</v>
      </c>
      <c r="E114" s="4">
        <v>0</v>
      </c>
      <c r="F114" s="4">
        <v>0.5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3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</row>
    <row r="115" spans="1:38" x14ac:dyDescent="0.25">
      <c r="A115" s="4">
        <v>29</v>
      </c>
      <c r="B115" s="4" t="s">
        <v>554</v>
      </c>
      <c r="C115" s="4" t="s">
        <v>669</v>
      </c>
      <c r="D115" s="4" t="s">
        <v>158</v>
      </c>
      <c r="E115" s="4">
        <v>0</v>
      </c>
      <c r="F115" s="4">
        <v>0</v>
      </c>
      <c r="G115" s="4">
        <v>0.5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</row>
    <row r="116" spans="1:38" x14ac:dyDescent="0.25">
      <c r="A116" s="4">
        <v>29</v>
      </c>
      <c r="B116" s="4" t="s">
        <v>556</v>
      </c>
      <c r="C116" s="4" t="s">
        <v>670</v>
      </c>
      <c r="D116" s="4" t="s">
        <v>158</v>
      </c>
      <c r="E116" s="4">
        <v>0</v>
      </c>
      <c r="F116" s="4">
        <v>0</v>
      </c>
      <c r="G116" s="4">
        <v>0</v>
      </c>
      <c r="H116" s="4">
        <v>0.5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3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</row>
    <row r="117" spans="1:38" x14ac:dyDescent="0.25">
      <c r="A117" s="4">
        <v>29</v>
      </c>
      <c r="B117" s="4" t="s">
        <v>558</v>
      </c>
      <c r="C117" s="4" t="s">
        <v>671</v>
      </c>
      <c r="D117" s="4" t="s">
        <v>158</v>
      </c>
      <c r="E117" s="4">
        <v>0</v>
      </c>
      <c r="F117" s="4">
        <v>0</v>
      </c>
      <c r="G117" s="4">
        <v>0</v>
      </c>
      <c r="H117" s="4">
        <v>0</v>
      </c>
      <c r="I117" s="4">
        <v>0.5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3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</row>
    <row r="118" spans="1:38" x14ac:dyDescent="0.25">
      <c r="A118" s="4">
        <v>30</v>
      </c>
      <c r="B118" s="4" t="s">
        <v>552</v>
      </c>
      <c r="C118" s="4" t="s">
        <v>672</v>
      </c>
      <c r="D118" s="4" t="s">
        <v>161</v>
      </c>
      <c r="E118" s="4">
        <v>0</v>
      </c>
      <c r="F118" s="4">
        <v>0.5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3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</row>
    <row r="119" spans="1:38" x14ac:dyDescent="0.25">
      <c r="A119" s="4">
        <v>30</v>
      </c>
      <c r="B119" s="4" t="s">
        <v>554</v>
      </c>
      <c r="C119" s="4" t="s">
        <v>673</v>
      </c>
      <c r="D119" s="4" t="s">
        <v>161</v>
      </c>
      <c r="E119" s="4">
        <v>0</v>
      </c>
      <c r="F119" s="4">
        <v>0</v>
      </c>
      <c r="G119" s="4">
        <v>0.5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</row>
    <row r="120" spans="1:38" x14ac:dyDescent="0.25">
      <c r="A120" s="4">
        <v>30</v>
      </c>
      <c r="B120" s="4" t="s">
        <v>556</v>
      </c>
      <c r="C120" s="4" t="s">
        <v>674</v>
      </c>
      <c r="D120" s="4" t="s">
        <v>161</v>
      </c>
      <c r="E120" s="4">
        <v>0</v>
      </c>
      <c r="F120" s="4">
        <v>0</v>
      </c>
      <c r="G120" s="4">
        <v>0</v>
      </c>
      <c r="H120" s="4">
        <v>0.5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3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</row>
    <row r="121" spans="1:38" x14ac:dyDescent="0.25">
      <c r="A121" s="4">
        <v>30</v>
      </c>
      <c r="B121" s="4" t="s">
        <v>558</v>
      </c>
      <c r="C121" s="4" t="s">
        <v>675</v>
      </c>
      <c r="D121" s="4" t="s">
        <v>161</v>
      </c>
      <c r="E121" s="4">
        <v>0</v>
      </c>
      <c r="F121" s="4">
        <v>0</v>
      </c>
      <c r="G121" s="4">
        <v>0</v>
      </c>
      <c r="H121" s="4">
        <v>0</v>
      </c>
      <c r="I121" s="4">
        <v>0.5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3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</row>
    <row r="122" spans="1:38" x14ac:dyDescent="0.25">
      <c r="A122" s="4">
        <v>31</v>
      </c>
      <c r="B122" s="4" t="s">
        <v>552</v>
      </c>
      <c r="C122" s="4" t="s">
        <v>676</v>
      </c>
      <c r="D122" s="4" t="s">
        <v>166</v>
      </c>
      <c r="E122" s="4">
        <v>0</v>
      </c>
      <c r="F122" s="4">
        <v>0.5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3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</row>
    <row r="123" spans="1:38" x14ac:dyDescent="0.25">
      <c r="A123" s="4">
        <v>31</v>
      </c>
      <c r="B123" s="4" t="s">
        <v>554</v>
      </c>
      <c r="C123" s="4" t="s">
        <v>677</v>
      </c>
      <c r="D123" s="4" t="s">
        <v>166</v>
      </c>
      <c r="E123" s="4">
        <v>0</v>
      </c>
      <c r="F123" s="4">
        <v>0</v>
      </c>
      <c r="G123" s="4">
        <v>0.5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</row>
    <row r="124" spans="1:38" x14ac:dyDescent="0.25">
      <c r="A124" s="4">
        <v>31</v>
      </c>
      <c r="B124" s="4" t="s">
        <v>556</v>
      </c>
      <c r="C124" s="4" t="s">
        <v>678</v>
      </c>
      <c r="D124" s="4" t="s">
        <v>166</v>
      </c>
      <c r="E124" s="4">
        <v>0</v>
      </c>
      <c r="F124" s="4">
        <v>0</v>
      </c>
      <c r="G124" s="4">
        <v>0</v>
      </c>
      <c r="H124" s="4">
        <v>0.5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3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</row>
    <row r="125" spans="1:38" x14ac:dyDescent="0.25">
      <c r="A125" s="4">
        <v>31</v>
      </c>
      <c r="B125" s="4" t="s">
        <v>558</v>
      </c>
      <c r="C125" s="4" t="s">
        <v>679</v>
      </c>
      <c r="D125" s="4" t="s">
        <v>166</v>
      </c>
      <c r="E125" s="4">
        <v>0</v>
      </c>
      <c r="F125" s="4">
        <v>0</v>
      </c>
      <c r="G125" s="4">
        <v>0</v>
      </c>
      <c r="H125" s="4">
        <v>0</v>
      </c>
      <c r="I125" s="4">
        <v>0.5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3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</row>
    <row r="126" spans="1:38" x14ac:dyDescent="0.25">
      <c r="A126" s="4">
        <v>32</v>
      </c>
      <c r="B126" s="4" t="s">
        <v>552</v>
      </c>
      <c r="C126" s="4" t="s">
        <v>680</v>
      </c>
      <c r="D126" s="4" t="s">
        <v>171</v>
      </c>
      <c r="E126" s="4">
        <v>0</v>
      </c>
      <c r="F126" s="4">
        <v>0.5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3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</row>
    <row r="127" spans="1:38" x14ac:dyDescent="0.25">
      <c r="A127" s="4">
        <v>32</v>
      </c>
      <c r="B127" s="4" t="s">
        <v>554</v>
      </c>
      <c r="C127" s="4" t="s">
        <v>681</v>
      </c>
      <c r="D127" s="4" t="s">
        <v>171</v>
      </c>
      <c r="E127" s="4">
        <v>0</v>
      </c>
      <c r="F127" s="4">
        <v>0</v>
      </c>
      <c r="G127" s="4">
        <v>0.5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</row>
    <row r="128" spans="1:38" x14ac:dyDescent="0.25">
      <c r="A128" s="4">
        <v>32</v>
      </c>
      <c r="B128" s="4" t="s">
        <v>556</v>
      </c>
      <c r="C128" s="4" t="s">
        <v>682</v>
      </c>
      <c r="D128" s="4" t="s">
        <v>171</v>
      </c>
      <c r="E128" s="4">
        <v>0</v>
      </c>
      <c r="F128" s="4">
        <v>0</v>
      </c>
      <c r="G128" s="4">
        <v>0</v>
      </c>
      <c r="H128" s="4">
        <v>0.5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3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</row>
    <row r="129" spans="1:38" x14ac:dyDescent="0.25">
      <c r="A129" s="4">
        <v>32</v>
      </c>
      <c r="B129" s="4" t="s">
        <v>558</v>
      </c>
      <c r="C129" s="4" t="s">
        <v>683</v>
      </c>
      <c r="D129" s="4" t="s">
        <v>171</v>
      </c>
      <c r="E129" s="4">
        <v>0</v>
      </c>
      <c r="F129" s="4">
        <v>0</v>
      </c>
      <c r="G129" s="4">
        <v>0</v>
      </c>
      <c r="H129" s="4">
        <v>0</v>
      </c>
      <c r="I129" s="4">
        <v>0.5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3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</row>
    <row r="130" spans="1:38" x14ac:dyDescent="0.25">
      <c r="A130" s="4">
        <v>33</v>
      </c>
      <c r="B130" s="4" t="s">
        <v>552</v>
      </c>
      <c r="C130" s="4" t="s">
        <v>684</v>
      </c>
      <c r="D130" s="4" t="s">
        <v>176</v>
      </c>
      <c r="E130" s="4">
        <v>0</v>
      </c>
      <c r="F130" s="4">
        <v>0.5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3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</row>
    <row r="131" spans="1:38" x14ac:dyDescent="0.25">
      <c r="A131" s="4">
        <v>33</v>
      </c>
      <c r="B131" s="4" t="s">
        <v>554</v>
      </c>
      <c r="C131" s="4" t="s">
        <v>685</v>
      </c>
      <c r="D131" s="4" t="s">
        <v>176</v>
      </c>
      <c r="E131" s="4">
        <v>0</v>
      </c>
      <c r="F131" s="4">
        <v>0</v>
      </c>
      <c r="G131" s="4">
        <v>0.5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</row>
    <row r="132" spans="1:38" x14ac:dyDescent="0.25">
      <c r="A132" s="4">
        <v>33</v>
      </c>
      <c r="B132" s="4" t="s">
        <v>556</v>
      </c>
      <c r="C132" s="4" t="s">
        <v>686</v>
      </c>
      <c r="D132" s="4" t="s">
        <v>176</v>
      </c>
      <c r="E132" s="4">
        <v>0</v>
      </c>
      <c r="F132" s="4">
        <v>0</v>
      </c>
      <c r="G132" s="4">
        <v>0</v>
      </c>
      <c r="H132" s="4">
        <v>0.5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3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</row>
    <row r="133" spans="1:38" x14ac:dyDescent="0.25">
      <c r="A133" s="4">
        <v>33</v>
      </c>
      <c r="B133" s="4" t="s">
        <v>558</v>
      </c>
      <c r="C133" s="4" t="s">
        <v>687</v>
      </c>
      <c r="D133" s="4" t="s">
        <v>176</v>
      </c>
      <c r="E133" s="4">
        <v>0</v>
      </c>
      <c r="F133" s="4">
        <v>0</v>
      </c>
      <c r="G133" s="4">
        <v>0</v>
      </c>
      <c r="H133" s="4">
        <v>0</v>
      </c>
      <c r="I133" s="4">
        <v>0.5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3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</row>
    <row r="134" spans="1:38" x14ac:dyDescent="0.25">
      <c r="A134" s="4">
        <v>34</v>
      </c>
      <c r="B134" s="4" t="s">
        <v>552</v>
      </c>
      <c r="C134" s="4" t="s">
        <v>688</v>
      </c>
      <c r="D134" s="4" t="s">
        <v>180</v>
      </c>
      <c r="E134" s="4">
        <v>0</v>
      </c>
      <c r="F134" s="4">
        <v>0.5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3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</row>
    <row r="135" spans="1:38" x14ac:dyDescent="0.25">
      <c r="A135" s="4">
        <v>34</v>
      </c>
      <c r="B135" s="4" t="s">
        <v>554</v>
      </c>
      <c r="C135" s="4" t="s">
        <v>689</v>
      </c>
      <c r="D135" s="4" t="s">
        <v>180</v>
      </c>
      <c r="E135" s="4">
        <v>0</v>
      </c>
      <c r="F135" s="4">
        <v>0</v>
      </c>
      <c r="G135" s="4">
        <v>0.5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</row>
    <row r="136" spans="1:38" x14ac:dyDescent="0.25">
      <c r="A136" s="4">
        <v>34</v>
      </c>
      <c r="B136" s="4" t="s">
        <v>556</v>
      </c>
      <c r="C136" s="4" t="s">
        <v>690</v>
      </c>
      <c r="D136" s="4" t="s">
        <v>180</v>
      </c>
      <c r="E136" s="4">
        <v>0</v>
      </c>
      <c r="F136" s="4">
        <v>0</v>
      </c>
      <c r="G136" s="4">
        <v>0</v>
      </c>
      <c r="H136" s="4">
        <v>0.5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3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</row>
    <row r="137" spans="1:38" x14ac:dyDescent="0.25">
      <c r="A137" s="4">
        <v>34</v>
      </c>
      <c r="B137" s="4" t="s">
        <v>558</v>
      </c>
      <c r="C137" s="4" t="s">
        <v>691</v>
      </c>
      <c r="D137" s="4" t="s">
        <v>180</v>
      </c>
      <c r="E137" s="4">
        <v>0</v>
      </c>
      <c r="F137" s="4">
        <v>0</v>
      </c>
      <c r="G137" s="4">
        <v>0</v>
      </c>
      <c r="H137" s="4">
        <v>0</v>
      </c>
      <c r="I137" s="4">
        <v>0.5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3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</row>
    <row r="138" spans="1:38" x14ac:dyDescent="0.25">
      <c r="A138" s="4">
        <v>35</v>
      </c>
      <c r="B138" s="4" t="s">
        <v>552</v>
      </c>
      <c r="C138" s="4" t="s">
        <v>692</v>
      </c>
      <c r="D138" s="4" t="s">
        <v>186</v>
      </c>
      <c r="E138" s="4">
        <v>0</v>
      </c>
      <c r="F138" s="4">
        <v>0.5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3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</row>
    <row r="139" spans="1:38" x14ac:dyDescent="0.25">
      <c r="A139" s="4">
        <v>35</v>
      </c>
      <c r="B139" s="4" t="s">
        <v>554</v>
      </c>
      <c r="C139" s="4" t="s">
        <v>693</v>
      </c>
      <c r="D139" s="4" t="s">
        <v>186</v>
      </c>
      <c r="E139" s="4">
        <v>0</v>
      </c>
      <c r="F139" s="4">
        <v>0</v>
      </c>
      <c r="G139" s="4">
        <v>0.5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</row>
    <row r="140" spans="1:38" x14ac:dyDescent="0.25">
      <c r="A140" s="4">
        <v>35</v>
      </c>
      <c r="B140" s="4" t="s">
        <v>556</v>
      </c>
      <c r="C140" s="4" t="s">
        <v>694</v>
      </c>
      <c r="D140" s="4" t="s">
        <v>186</v>
      </c>
      <c r="E140" s="4">
        <v>0</v>
      </c>
      <c r="F140" s="4">
        <v>0</v>
      </c>
      <c r="G140" s="4">
        <v>0</v>
      </c>
      <c r="H140" s="4">
        <v>0.5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3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</row>
    <row r="141" spans="1:38" x14ac:dyDescent="0.25">
      <c r="A141" s="4">
        <v>35</v>
      </c>
      <c r="B141" s="4" t="s">
        <v>558</v>
      </c>
      <c r="C141" s="4" t="s">
        <v>695</v>
      </c>
      <c r="D141" s="4" t="s">
        <v>186</v>
      </c>
      <c r="E141" s="4">
        <v>0</v>
      </c>
      <c r="F141" s="4">
        <v>0</v>
      </c>
      <c r="G141" s="4">
        <v>0</v>
      </c>
      <c r="H141" s="4">
        <v>0</v>
      </c>
      <c r="I141" s="4">
        <v>0.5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3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</row>
    <row r="142" spans="1:38" x14ac:dyDescent="0.25">
      <c r="A142" s="4">
        <v>36</v>
      </c>
      <c r="B142" s="4" t="s">
        <v>552</v>
      </c>
      <c r="C142" s="4" t="s">
        <v>696</v>
      </c>
      <c r="D142" s="4" t="s">
        <v>191</v>
      </c>
      <c r="E142" s="4">
        <v>0</v>
      </c>
      <c r="F142" s="4">
        <v>0.5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</row>
    <row r="143" spans="1:38" x14ac:dyDescent="0.25">
      <c r="A143" s="4">
        <v>36</v>
      </c>
      <c r="B143" s="4" t="s">
        <v>554</v>
      </c>
      <c r="C143" s="4" t="s">
        <v>697</v>
      </c>
      <c r="D143" s="4" t="s">
        <v>191</v>
      </c>
      <c r="E143" s="4">
        <v>0</v>
      </c>
      <c r="F143" s="4">
        <v>0</v>
      </c>
      <c r="G143" s="4">
        <v>0.5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</row>
    <row r="144" spans="1:38" x14ac:dyDescent="0.25">
      <c r="A144" s="4">
        <v>36</v>
      </c>
      <c r="B144" s="4" t="s">
        <v>556</v>
      </c>
      <c r="C144" s="4" t="s">
        <v>698</v>
      </c>
      <c r="D144" s="4" t="s">
        <v>191</v>
      </c>
      <c r="E144" s="4">
        <v>0</v>
      </c>
      <c r="F144" s="4">
        <v>0</v>
      </c>
      <c r="G144" s="4">
        <v>0</v>
      </c>
      <c r="H144" s="4">
        <v>0.5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3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</row>
    <row r="145" spans="1:38" x14ac:dyDescent="0.25">
      <c r="A145" s="4">
        <v>36</v>
      </c>
      <c r="B145" s="4" t="s">
        <v>558</v>
      </c>
      <c r="C145" s="4" t="s">
        <v>699</v>
      </c>
      <c r="D145" s="4" t="s">
        <v>191</v>
      </c>
      <c r="E145" s="4">
        <v>0</v>
      </c>
      <c r="F145" s="4">
        <v>0</v>
      </c>
      <c r="G145" s="4">
        <v>0</v>
      </c>
      <c r="H145" s="4">
        <v>0</v>
      </c>
      <c r="I145" s="4">
        <v>0.5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</row>
    <row r="146" spans="1:38" x14ac:dyDescent="0.25">
      <c r="A146" s="4">
        <v>37</v>
      </c>
      <c r="B146" s="4" t="s">
        <v>552</v>
      </c>
      <c r="C146" s="4" t="s">
        <v>700</v>
      </c>
      <c r="D146" s="4" t="s">
        <v>196</v>
      </c>
      <c r="E146" s="4">
        <v>0</v>
      </c>
      <c r="F146" s="4">
        <v>0.5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</row>
    <row r="147" spans="1:38" x14ac:dyDescent="0.25">
      <c r="A147" s="4">
        <v>37</v>
      </c>
      <c r="B147" s="4" t="s">
        <v>554</v>
      </c>
      <c r="C147" s="4" t="s">
        <v>701</v>
      </c>
      <c r="D147" s="4" t="s">
        <v>196</v>
      </c>
      <c r="E147" s="4">
        <v>0</v>
      </c>
      <c r="F147" s="4">
        <v>0</v>
      </c>
      <c r="G147" s="4">
        <v>0.5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</row>
    <row r="148" spans="1:38" x14ac:dyDescent="0.25">
      <c r="A148" s="4">
        <v>37</v>
      </c>
      <c r="B148" s="4" t="s">
        <v>556</v>
      </c>
      <c r="C148" s="4" t="s">
        <v>702</v>
      </c>
      <c r="D148" s="4" t="s">
        <v>196</v>
      </c>
      <c r="E148" s="4">
        <v>0</v>
      </c>
      <c r="F148" s="4">
        <v>0</v>
      </c>
      <c r="G148" s="4">
        <v>0</v>
      </c>
      <c r="H148" s="4">
        <v>0.5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3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</row>
    <row r="149" spans="1:38" x14ac:dyDescent="0.25">
      <c r="A149" s="4">
        <v>37</v>
      </c>
      <c r="B149" s="4" t="s">
        <v>558</v>
      </c>
      <c r="C149" s="4" t="s">
        <v>703</v>
      </c>
      <c r="D149" s="4" t="s">
        <v>196</v>
      </c>
      <c r="E149" s="4">
        <v>0</v>
      </c>
      <c r="F149" s="4">
        <v>0</v>
      </c>
      <c r="G149" s="4">
        <v>0</v>
      </c>
      <c r="H149" s="4">
        <v>0</v>
      </c>
      <c r="I149" s="4">
        <v>0.5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3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</row>
    <row r="150" spans="1:38" x14ac:dyDescent="0.25">
      <c r="A150" s="4">
        <v>38</v>
      </c>
      <c r="B150" s="4" t="s">
        <v>552</v>
      </c>
      <c r="C150" s="4" t="s">
        <v>704</v>
      </c>
      <c r="D150" s="4" t="s">
        <v>201</v>
      </c>
      <c r="E150" s="4">
        <v>0</v>
      </c>
      <c r="F150" s="4">
        <v>0.5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</row>
    <row r="151" spans="1:38" x14ac:dyDescent="0.25">
      <c r="A151" s="4">
        <v>38</v>
      </c>
      <c r="B151" s="4" t="s">
        <v>554</v>
      </c>
      <c r="C151" s="4" t="s">
        <v>705</v>
      </c>
      <c r="D151" s="4" t="s">
        <v>201</v>
      </c>
      <c r="E151" s="4">
        <v>0</v>
      </c>
      <c r="F151" s="4">
        <v>0</v>
      </c>
      <c r="G151" s="4">
        <v>0.5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3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</row>
    <row r="152" spans="1:38" x14ac:dyDescent="0.25">
      <c r="A152" s="4">
        <v>38</v>
      </c>
      <c r="B152" s="4" t="s">
        <v>556</v>
      </c>
      <c r="C152" s="4" t="s">
        <v>706</v>
      </c>
      <c r="D152" s="4" t="s">
        <v>201</v>
      </c>
      <c r="E152" s="4">
        <v>0</v>
      </c>
      <c r="F152" s="4">
        <v>0</v>
      </c>
      <c r="G152" s="4">
        <v>0</v>
      </c>
      <c r="H152" s="4">
        <v>0.5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3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</row>
    <row r="153" spans="1:38" x14ac:dyDescent="0.25">
      <c r="A153" s="4">
        <v>38</v>
      </c>
      <c r="B153" s="4" t="s">
        <v>558</v>
      </c>
      <c r="C153" s="4" t="s">
        <v>707</v>
      </c>
      <c r="D153" s="4" t="s">
        <v>201</v>
      </c>
      <c r="E153" s="4">
        <v>0</v>
      </c>
      <c r="F153" s="4">
        <v>0</v>
      </c>
      <c r="G153" s="4">
        <v>0</v>
      </c>
      <c r="H153" s="4">
        <v>0</v>
      </c>
      <c r="I153" s="4">
        <v>0.5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3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</row>
    <row r="154" spans="1:38" x14ac:dyDescent="0.25">
      <c r="A154" s="4">
        <v>39</v>
      </c>
      <c r="B154" s="4" t="s">
        <v>552</v>
      </c>
      <c r="C154" s="4" t="s">
        <v>708</v>
      </c>
      <c r="D154" s="4" t="s">
        <v>206</v>
      </c>
      <c r="E154" s="4">
        <v>0</v>
      </c>
      <c r="F154" s="4">
        <v>0.5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</row>
    <row r="155" spans="1:38" x14ac:dyDescent="0.25">
      <c r="A155" s="4">
        <v>39</v>
      </c>
      <c r="B155" s="4" t="s">
        <v>554</v>
      </c>
      <c r="C155" s="4" t="s">
        <v>709</v>
      </c>
      <c r="D155" s="4" t="s">
        <v>206</v>
      </c>
      <c r="E155" s="4">
        <v>0</v>
      </c>
      <c r="F155" s="4">
        <v>0</v>
      </c>
      <c r="G155" s="4">
        <v>0.5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</row>
    <row r="156" spans="1:38" x14ac:dyDescent="0.25">
      <c r="A156" s="4">
        <v>39</v>
      </c>
      <c r="B156" s="4" t="s">
        <v>556</v>
      </c>
      <c r="C156" s="4" t="s">
        <v>710</v>
      </c>
      <c r="D156" s="4" t="s">
        <v>206</v>
      </c>
      <c r="E156" s="4">
        <v>0</v>
      </c>
      <c r="F156" s="4">
        <v>0</v>
      </c>
      <c r="G156" s="4">
        <v>0</v>
      </c>
      <c r="H156" s="4">
        <v>0.5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3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</row>
    <row r="157" spans="1:38" x14ac:dyDescent="0.25">
      <c r="A157" s="4">
        <v>39</v>
      </c>
      <c r="B157" s="4" t="s">
        <v>558</v>
      </c>
      <c r="C157" s="4" t="s">
        <v>711</v>
      </c>
      <c r="D157" s="4" t="s">
        <v>206</v>
      </c>
      <c r="E157" s="4">
        <v>0</v>
      </c>
      <c r="F157" s="4">
        <v>0</v>
      </c>
      <c r="G157" s="4">
        <v>0</v>
      </c>
      <c r="H157" s="4">
        <v>0</v>
      </c>
      <c r="I157" s="4">
        <v>0.5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3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</row>
    <row r="158" spans="1:38" x14ac:dyDescent="0.25">
      <c r="A158" s="4">
        <v>40</v>
      </c>
      <c r="B158" s="4" t="s">
        <v>552</v>
      </c>
      <c r="C158" s="4" t="s">
        <v>712</v>
      </c>
      <c r="D158" s="4" t="s">
        <v>210</v>
      </c>
      <c r="E158" s="4">
        <v>0</v>
      </c>
      <c r="F158" s="4">
        <v>0.5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</row>
    <row r="159" spans="1:38" x14ac:dyDescent="0.25">
      <c r="A159" s="4">
        <v>40</v>
      </c>
      <c r="B159" s="4" t="s">
        <v>554</v>
      </c>
      <c r="C159" s="4" t="s">
        <v>713</v>
      </c>
      <c r="D159" s="4" t="s">
        <v>210</v>
      </c>
      <c r="E159" s="4">
        <v>0</v>
      </c>
      <c r="F159" s="4">
        <v>0</v>
      </c>
      <c r="G159" s="4">
        <v>0.5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3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</row>
    <row r="160" spans="1:38" x14ac:dyDescent="0.25">
      <c r="A160" s="4">
        <v>40</v>
      </c>
      <c r="B160" s="4" t="s">
        <v>556</v>
      </c>
      <c r="C160" s="4" t="s">
        <v>714</v>
      </c>
      <c r="D160" s="4" t="s">
        <v>210</v>
      </c>
      <c r="E160" s="4">
        <v>0</v>
      </c>
      <c r="F160" s="4">
        <v>0</v>
      </c>
      <c r="G160" s="4">
        <v>0</v>
      </c>
      <c r="H160" s="4">
        <v>0.5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3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</row>
    <row r="161" spans="1:38" x14ac:dyDescent="0.25">
      <c r="A161" s="4">
        <v>40</v>
      </c>
      <c r="B161" s="4" t="s">
        <v>558</v>
      </c>
      <c r="C161" s="4" t="s">
        <v>715</v>
      </c>
      <c r="D161" s="4" t="s">
        <v>210</v>
      </c>
      <c r="E161" s="4">
        <v>0</v>
      </c>
      <c r="F161" s="4">
        <v>0</v>
      </c>
      <c r="G161" s="4">
        <v>0</v>
      </c>
      <c r="H161" s="4">
        <v>0</v>
      </c>
      <c r="I161" s="4">
        <v>0.5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3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</row>
    <row r="162" spans="1:38" x14ac:dyDescent="0.25">
      <c r="A162" s="4">
        <v>41</v>
      </c>
      <c r="B162" s="4" t="s">
        <v>552</v>
      </c>
      <c r="C162" s="4" t="s">
        <v>716</v>
      </c>
      <c r="D162" s="4" t="s">
        <v>216</v>
      </c>
      <c r="E162" s="4">
        <v>0</v>
      </c>
      <c r="F162" s="4">
        <v>1.5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1</v>
      </c>
      <c r="X162" s="4">
        <v>0</v>
      </c>
      <c r="Y162" s="4">
        <v>0</v>
      </c>
      <c r="Z162" s="4">
        <v>0</v>
      </c>
      <c r="AA162" s="4">
        <v>0.5</v>
      </c>
      <c r="AB162" s="4">
        <v>0</v>
      </c>
      <c r="AC162" s="4">
        <v>0</v>
      </c>
      <c r="AD162" s="4">
        <v>0</v>
      </c>
      <c r="AE162" s="4">
        <v>3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</row>
    <row r="163" spans="1:38" x14ac:dyDescent="0.25">
      <c r="A163" s="4">
        <v>41</v>
      </c>
      <c r="B163" s="4" t="s">
        <v>554</v>
      </c>
      <c r="C163" s="4" t="s">
        <v>717</v>
      </c>
      <c r="D163" s="4" t="s">
        <v>216</v>
      </c>
      <c r="E163" s="4">
        <v>0</v>
      </c>
      <c r="F163" s="4">
        <v>0</v>
      </c>
      <c r="G163" s="4">
        <v>1.5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1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1</v>
      </c>
      <c r="Y163" s="4">
        <v>0</v>
      </c>
      <c r="Z163" s="4">
        <v>0</v>
      </c>
      <c r="AA163" s="4">
        <v>0</v>
      </c>
      <c r="AB163" s="4">
        <v>0.5</v>
      </c>
      <c r="AC163" s="4">
        <v>0</v>
      </c>
      <c r="AD163" s="4">
        <v>0</v>
      </c>
      <c r="AE163" s="4">
        <v>0</v>
      </c>
      <c r="AF163" s="4">
        <v>3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</row>
    <row r="164" spans="1:38" x14ac:dyDescent="0.25">
      <c r="A164" s="4">
        <v>41</v>
      </c>
      <c r="B164" s="4" t="s">
        <v>556</v>
      </c>
      <c r="C164" s="4" t="s">
        <v>718</v>
      </c>
      <c r="D164" s="4" t="s">
        <v>216</v>
      </c>
      <c r="E164" s="4">
        <v>0</v>
      </c>
      <c r="F164" s="4">
        <v>0</v>
      </c>
      <c r="G164" s="4">
        <v>0</v>
      </c>
      <c r="H164" s="4">
        <v>1.5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1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</v>
      </c>
      <c r="Z164" s="4">
        <v>0</v>
      </c>
      <c r="AA164" s="4">
        <v>0</v>
      </c>
      <c r="AB164" s="4">
        <v>0</v>
      </c>
      <c r="AC164" s="4">
        <v>0.5</v>
      </c>
      <c r="AD164" s="4">
        <v>0</v>
      </c>
      <c r="AE164" s="4">
        <v>0</v>
      </c>
      <c r="AF164" s="4">
        <v>0</v>
      </c>
      <c r="AG164" s="4">
        <v>3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</row>
    <row r="165" spans="1:38" x14ac:dyDescent="0.25">
      <c r="A165" s="4">
        <v>41</v>
      </c>
      <c r="B165" s="4" t="s">
        <v>558</v>
      </c>
      <c r="C165" s="4" t="s">
        <v>719</v>
      </c>
      <c r="D165" s="4" t="s">
        <v>216</v>
      </c>
      <c r="E165" s="4">
        <v>0</v>
      </c>
      <c r="F165" s="4">
        <v>0</v>
      </c>
      <c r="G165" s="4">
        <v>0</v>
      </c>
      <c r="H165" s="4">
        <v>0</v>
      </c>
      <c r="I165" s="4">
        <v>1.5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1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</v>
      </c>
      <c r="AA165" s="4">
        <v>0</v>
      </c>
      <c r="AB165" s="4">
        <v>0</v>
      </c>
      <c r="AC165" s="4">
        <v>0</v>
      </c>
      <c r="AD165" s="4">
        <v>0.5</v>
      </c>
      <c r="AE165" s="4">
        <v>0</v>
      </c>
      <c r="AF165" s="4">
        <v>0</v>
      </c>
      <c r="AG165" s="4">
        <v>0</v>
      </c>
      <c r="AH165" s="4">
        <v>3</v>
      </c>
      <c r="AI165" s="4">
        <v>0</v>
      </c>
      <c r="AJ165" s="4">
        <v>0</v>
      </c>
      <c r="AK165" s="4">
        <v>0</v>
      </c>
      <c r="AL165" s="4">
        <v>0</v>
      </c>
    </row>
    <row r="166" spans="1:38" x14ac:dyDescent="0.25">
      <c r="A166" s="4">
        <v>42</v>
      </c>
      <c r="B166" s="4" t="s">
        <v>552</v>
      </c>
      <c r="C166" s="4" t="s">
        <v>720</v>
      </c>
      <c r="D166" s="4" t="s">
        <v>221</v>
      </c>
      <c r="E166" s="4">
        <v>0</v>
      </c>
      <c r="F166" s="4">
        <v>1.5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1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1</v>
      </c>
      <c r="X166" s="4">
        <v>0</v>
      </c>
      <c r="Y166" s="4">
        <v>0</v>
      </c>
      <c r="Z166" s="4">
        <v>0</v>
      </c>
      <c r="AA166" s="4">
        <v>0.5</v>
      </c>
      <c r="AB166" s="4">
        <v>0</v>
      </c>
      <c r="AC166" s="4">
        <v>0</v>
      </c>
      <c r="AD166" s="4">
        <v>0</v>
      </c>
      <c r="AE166" s="4">
        <v>3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</row>
    <row r="167" spans="1:38" x14ac:dyDescent="0.25">
      <c r="A167" s="4">
        <v>42</v>
      </c>
      <c r="B167" s="4" t="s">
        <v>554</v>
      </c>
      <c r="C167" s="4" t="s">
        <v>721</v>
      </c>
      <c r="D167" s="4" t="s">
        <v>221</v>
      </c>
      <c r="E167" s="4">
        <v>0</v>
      </c>
      <c r="F167" s="4">
        <v>0</v>
      </c>
      <c r="G167" s="4">
        <v>1.5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1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1</v>
      </c>
      <c r="Y167" s="4">
        <v>0</v>
      </c>
      <c r="Z167" s="4">
        <v>0</v>
      </c>
      <c r="AA167" s="4">
        <v>0</v>
      </c>
      <c r="AB167" s="4">
        <v>0.5</v>
      </c>
      <c r="AC167" s="4">
        <v>0</v>
      </c>
      <c r="AD167" s="4">
        <v>0</v>
      </c>
      <c r="AE167" s="4">
        <v>0</v>
      </c>
      <c r="AF167" s="4">
        <v>3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</row>
    <row r="168" spans="1:38" x14ac:dyDescent="0.25">
      <c r="A168" s="4">
        <v>42</v>
      </c>
      <c r="B168" s="4" t="s">
        <v>556</v>
      </c>
      <c r="C168" s="4" t="s">
        <v>722</v>
      </c>
      <c r="D168" s="4" t="s">
        <v>221</v>
      </c>
      <c r="E168" s="4">
        <v>0</v>
      </c>
      <c r="F168" s="4">
        <v>0</v>
      </c>
      <c r="G168" s="4">
        <v>0</v>
      </c>
      <c r="H168" s="4">
        <v>1.5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</v>
      </c>
      <c r="Z168" s="4">
        <v>0</v>
      </c>
      <c r="AA168" s="4">
        <v>0</v>
      </c>
      <c r="AB168" s="4">
        <v>0</v>
      </c>
      <c r="AC168" s="4">
        <v>0.5</v>
      </c>
      <c r="AD168" s="4">
        <v>0</v>
      </c>
      <c r="AE168" s="4">
        <v>0</v>
      </c>
      <c r="AF168" s="4">
        <v>0</v>
      </c>
      <c r="AG168" s="4">
        <v>3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</row>
    <row r="169" spans="1:38" x14ac:dyDescent="0.25">
      <c r="A169" s="4">
        <v>42</v>
      </c>
      <c r="B169" s="4" t="s">
        <v>558</v>
      </c>
      <c r="C169" s="4" t="s">
        <v>723</v>
      </c>
      <c r="D169" s="4" t="s">
        <v>221</v>
      </c>
      <c r="E169" s="4">
        <v>0</v>
      </c>
      <c r="F169" s="4">
        <v>0</v>
      </c>
      <c r="G169" s="4">
        <v>0</v>
      </c>
      <c r="H169" s="4">
        <v>0</v>
      </c>
      <c r="I169" s="4">
        <v>1.5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1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1</v>
      </c>
      <c r="AA169" s="4">
        <v>0</v>
      </c>
      <c r="AB169" s="4">
        <v>0</v>
      </c>
      <c r="AC169" s="4">
        <v>0</v>
      </c>
      <c r="AD169" s="4">
        <v>0.5</v>
      </c>
      <c r="AE169" s="4">
        <v>0</v>
      </c>
      <c r="AF169" s="4">
        <v>0</v>
      </c>
      <c r="AG169" s="4">
        <v>0</v>
      </c>
      <c r="AH169" s="4">
        <v>3</v>
      </c>
      <c r="AI169" s="4">
        <v>0</v>
      </c>
      <c r="AJ169" s="4">
        <v>0</v>
      </c>
      <c r="AK169" s="4">
        <v>0</v>
      </c>
      <c r="AL169" s="4">
        <v>0</v>
      </c>
    </row>
    <row r="170" spans="1:38" x14ac:dyDescent="0.25">
      <c r="A170" s="4">
        <v>43</v>
      </c>
      <c r="B170" s="4" t="s">
        <v>552</v>
      </c>
      <c r="C170" s="4" t="s">
        <v>724</v>
      </c>
      <c r="D170" s="4" t="s">
        <v>225</v>
      </c>
      <c r="E170" s="4">
        <v>0</v>
      </c>
      <c r="F170" s="4">
        <v>1.5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1</v>
      </c>
      <c r="X170" s="4">
        <v>0</v>
      </c>
      <c r="Y170" s="4">
        <v>0</v>
      </c>
      <c r="Z170" s="4">
        <v>0</v>
      </c>
      <c r="AA170" s="4">
        <v>0.5</v>
      </c>
      <c r="AB170" s="4">
        <v>0</v>
      </c>
      <c r="AC170" s="4">
        <v>0</v>
      </c>
      <c r="AD170" s="4">
        <v>0</v>
      </c>
      <c r="AE170" s="4">
        <v>3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</row>
    <row r="171" spans="1:38" x14ac:dyDescent="0.25">
      <c r="A171" s="4">
        <v>43</v>
      </c>
      <c r="B171" s="4" t="s">
        <v>554</v>
      </c>
      <c r="C171" s="4" t="s">
        <v>725</v>
      </c>
      <c r="D171" s="4" t="s">
        <v>225</v>
      </c>
      <c r="E171" s="4">
        <v>0</v>
      </c>
      <c r="F171" s="4">
        <v>0</v>
      </c>
      <c r="G171" s="4">
        <v>1.5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>
        <v>0</v>
      </c>
      <c r="Z171" s="4">
        <v>0</v>
      </c>
      <c r="AA171" s="4">
        <v>0</v>
      </c>
      <c r="AB171" s="4">
        <v>0.5</v>
      </c>
      <c r="AC171" s="4">
        <v>0</v>
      </c>
      <c r="AD171" s="4">
        <v>0</v>
      </c>
      <c r="AE171" s="4">
        <v>0</v>
      </c>
      <c r="AF171" s="4">
        <v>3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</row>
    <row r="172" spans="1:38" x14ac:dyDescent="0.25">
      <c r="A172" s="4">
        <v>43</v>
      </c>
      <c r="B172" s="4" t="s">
        <v>556</v>
      </c>
      <c r="C172" s="4" t="s">
        <v>726</v>
      </c>
      <c r="D172" s="4" t="s">
        <v>225</v>
      </c>
      <c r="E172" s="4">
        <v>0</v>
      </c>
      <c r="F172" s="4">
        <v>0</v>
      </c>
      <c r="G172" s="4">
        <v>0</v>
      </c>
      <c r="H172" s="4">
        <v>1.5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1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</v>
      </c>
      <c r="Z172" s="4">
        <v>0</v>
      </c>
      <c r="AA172" s="4">
        <v>0</v>
      </c>
      <c r="AB172" s="4">
        <v>0</v>
      </c>
      <c r="AC172" s="4">
        <v>0.5</v>
      </c>
      <c r="AD172" s="4">
        <v>0</v>
      </c>
      <c r="AE172" s="4">
        <v>0</v>
      </c>
      <c r="AF172" s="4">
        <v>0</v>
      </c>
      <c r="AG172" s="4">
        <v>3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</row>
    <row r="173" spans="1:38" x14ac:dyDescent="0.25">
      <c r="A173" s="4">
        <v>43</v>
      </c>
      <c r="B173" s="4" t="s">
        <v>558</v>
      </c>
      <c r="C173" s="4" t="s">
        <v>727</v>
      </c>
      <c r="D173" s="4" t="s">
        <v>225</v>
      </c>
      <c r="E173" s="4">
        <v>0</v>
      </c>
      <c r="F173" s="4">
        <v>0</v>
      </c>
      <c r="G173" s="4">
        <v>0</v>
      </c>
      <c r="H173" s="4">
        <v>0</v>
      </c>
      <c r="I173" s="4">
        <v>1.5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1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0.5</v>
      </c>
      <c r="AE173" s="4">
        <v>0</v>
      </c>
      <c r="AF173" s="4">
        <v>0</v>
      </c>
      <c r="AG173" s="4">
        <v>0</v>
      </c>
      <c r="AH173" s="4">
        <v>3</v>
      </c>
      <c r="AI173" s="4">
        <v>0</v>
      </c>
      <c r="AJ173" s="4">
        <v>0</v>
      </c>
      <c r="AK173" s="4">
        <v>0</v>
      </c>
      <c r="AL173" s="4">
        <v>0</v>
      </c>
    </row>
    <row r="174" spans="1:38" x14ac:dyDescent="0.25">
      <c r="A174" s="4">
        <v>44</v>
      </c>
      <c r="B174" s="4" t="s">
        <v>552</v>
      </c>
      <c r="C174" s="4" t="s">
        <v>728</v>
      </c>
      <c r="D174" s="4" t="s">
        <v>228</v>
      </c>
      <c r="E174" s="4">
        <v>0</v>
      </c>
      <c r="F174" s="4">
        <v>1.5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1</v>
      </c>
      <c r="X174" s="4">
        <v>0</v>
      </c>
      <c r="Y174" s="4">
        <v>0</v>
      </c>
      <c r="Z174" s="4">
        <v>0</v>
      </c>
      <c r="AA174" s="4">
        <v>0.5</v>
      </c>
      <c r="AB174" s="4">
        <v>0</v>
      </c>
      <c r="AC174" s="4">
        <v>0</v>
      </c>
      <c r="AD174" s="4">
        <v>0</v>
      </c>
      <c r="AE174" s="4">
        <v>3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</row>
    <row r="175" spans="1:38" x14ac:dyDescent="0.25">
      <c r="A175" s="4">
        <v>44</v>
      </c>
      <c r="B175" s="4" t="s">
        <v>554</v>
      </c>
      <c r="C175" s="4" t="s">
        <v>729</v>
      </c>
      <c r="D175" s="4" t="s">
        <v>228</v>
      </c>
      <c r="E175" s="4">
        <v>0</v>
      </c>
      <c r="F175" s="4">
        <v>0</v>
      </c>
      <c r="G175" s="4">
        <v>1.5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  <c r="Y175" s="4">
        <v>0</v>
      </c>
      <c r="Z175" s="4">
        <v>0</v>
      </c>
      <c r="AA175" s="4">
        <v>0</v>
      </c>
      <c r="AB175" s="4">
        <v>0.5</v>
      </c>
      <c r="AC175" s="4">
        <v>0</v>
      </c>
      <c r="AD175" s="4">
        <v>0</v>
      </c>
      <c r="AE175" s="4">
        <v>0</v>
      </c>
      <c r="AF175" s="4">
        <v>3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</row>
    <row r="176" spans="1:38" x14ac:dyDescent="0.25">
      <c r="A176" s="4">
        <v>44</v>
      </c>
      <c r="B176" s="4" t="s">
        <v>556</v>
      </c>
      <c r="C176" s="4" t="s">
        <v>730</v>
      </c>
      <c r="D176" s="4" t="s">
        <v>228</v>
      </c>
      <c r="E176" s="4">
        <v>0</v>
      </c>
      <c r="F176" s="4">
        <v>0</v>
      </c>
      <c r="G176" s="4">
        <v>0</v>
      </c>
      <c r="H176" s="4">
        <v>1.5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1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</v>
      </c>
      <c r="Z176" s="4">
        <v>0</v>
      </c>
      <c r="AA176" s="4">
        <v>0</v>
      </c>
      <c r="AB176" s="4">
        <v>0</v>
      </c>
      <c r="AC176" s="4">
        <v>0.5</v>
      </c>
      <c r="AD176" s="4">
        <v>0</v>
      </c>
      <c r="AE176" s="4">
        <v>0</v>
      </c>
      <c r="AF176" s="4">
        <v>0</v>
      </c>
      <c r="AG176" s="4">
        <v>3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</row>
    <row r="177" spans="1:38" x14ac:dyDescent="0.25">
      <c r="A177" s="4">
        <v>44</v>
      </c>
      <c r="B177" s="4" t="s">
        <v>558</v>
      </c>
      <c r="C177" s="4" t="s">
        <v>731</v>
      </c>
      <c r="D177" s="4" t="s">
        <v>228</v>
      </c>
      <c r="E177" s="4">
        <v>0</v>
      </c>
      <c r="F177" s="4">
        <v>0</v>
      </c>
      <c r="G177" s="4">
        <v>0</v>
      </c>
      <c r="H177" s="4">
        <v>0</v>
      </c>
      <c r="I177" s="4">
        <v>1.5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1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</v>
      </c>
      <c r="AA177" s="4">
        <v>0</v>
      </c>
      <c r="AB177" s="4">
        <v>0</v>
      </c>
      <c r="AC177" s="4">
        <v>0</v>
      </c>
      <c r="AD177" s="4">
        <v>0.5</v>
      </c>
      <c r="AE177" s="4">
        <v>0</v>
      </c>
      <c r="AF177" s="4">
        <v>0</v>
      </c>
      <c r="AG177" s="4">
        <v>0</v>
      </c>
      <c r="AH177" s="4">
        <v>3</v>
      </c>
      <c r="AI177" s="4">
        <v>0</v>
      </c>
      <c r="AJ177" s="4">
        <v>0</v>
      </c>
      <c r="AK177" s="4">
        <v>0</v>
      </c>
      <c r="AL177" s="4">
        <v>0</v>
      </c>
    </row>
    <row r="178" spans="1:38" x14ac:dyDescent="0.25">
      <c r="A178" s="4">
        <v>45</v>
      </c>
      <c r="B178" s="4" t="s">
        <v>552</v>
      </c>
      <c r="C178" s="4" t="s">
        <v>732</v>
      </c>
      <c r="D178" s="4" t="s">
        <v>232</v>
      </c>
      <c r="E178" s="4">
        <v>0</v>
      </c>
      <c r="F178" s="4">
        <v>1.5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1</v>
      </c>
      <c r="X178" s="4">
        <v>0</v>
      </c>
      <c r="Y178" s="4">
        <v>0</v>
      </c>
      <c r="Z178" s="4">
        <v>0</v>
      </c>
      <c r="AA178" s="4">
        <v>0.5</v>
      </c>
      <c r="AB178" s="4">
        <v>0</v>
      </c>
      <c r="AC178" s="4">
        <v>0</v>
      </c>
      <c r="AD178" s="4">
        <v>0</v>
      </c>
      <c r="AE178" s="4">
        <v>3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</row>
    <row r="179" spans="1:38" x14ac:dyDescent="0.25">
      <c r="A179" s="4">
        <v>45</v>
      </c>
      <c r="B179" s="4" t="s">
        <v>554</v>
      </c>
      <c r="C179" s="4" t="s">
        <v>733</v>
      </c>
      <c r="D179" s="4" t="s">
        <v>232</v>
      </c>
      <c r="E179" s="4">
        <v>0</v>
      </c>
      <c r="F179" s="4">
        <v>0</v>
      </c>
      <c r="G179" s="4">
        <v>1.5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1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1</v>
      </c>
      <c r="Y179" s="4">
        <v>0</v>
      </c>
      <c r="Z179" s="4">
        <v>0</v>
      </c>
      <c r="AA179" s="4">
        <v>0</v>
      </c>
      <c r="AB179" s="4">
        <v>0.5</v>
      </c>
      <c r="AC179" s="4">
        <v>0</v>
      </c>
      <c r="AD179" s="4">
        <v>0</v>
      </c>
      <c r="AE179" s="4">
        <v>0</v>
      </c>
      <c r="AF179" s="4">
        <v>3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</row>
    <row r="180" spans="1:38" x14ac:dyDescent="0.25">
      <c r="A180" s="4">
        <v>45</v>
      </c>
      <c r="B180" s="4" t="s">
        <v>556</v>
      </c>
      <c r="C180" s="4" t="s">
        <v>734</v>
      </c>
      <c r="D180" s="4" t="s">
        <v>232</v>
      </c>
      <c r="E180" s="4">
        <v>0</v>
      </c>
      <c r="F180" s="4">
        <v>0</v>
      </c>
      <c r="G180" s="4">
        <v>0</v>
      </c>
      <c r="H180" s="4">
        <v>1.5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1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1</v>
      </c>
      <c r="Z180" s="4">
        <v>0</v>
      </c>
      <c r="AA180" s="4">
        <v>0</v>
      </c>
      <c r="AB180" s="4">
        <v>0</v>
      </c>
      <c r="AC180" s="4">
        <v>0.5</v>
      </c>
      <c r="AD180" s="4">
        <v>0</v>
      </c>
      <c r="AE180" s="4">
        <v>0</v>
      </c>
      <c r="AF180" s="4">
        <v>0</v>
      </c>
      <c r="AG180" s="4">
        <v>3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</row>
    <row r="181" spans="1:38" x14ac:dyDescent="0.25">
      <c r="A181" s="4">
        <v>45</v>
      </c>
      <c r="B181" s="4" t="s">
        <v>558</v>
      </c>
      <c r="C181" s="4" t="s">
        <v>735</v>
      </c>
      <c r="D181" s="4" t="s">
        <v>232</v>
      </c>
      <c r="E181" s="4">
        <v>0</v>
      </c>
      <c r="F181" s="4">
        <v>0</v>
      </c>
      <c r="G181" s="4">
        <v>0</v>
      </c>
      <c r="H181" s="4">
        <v>0</v>
      </c>
      <c r="I181" s="4">
        <v>1.5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1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4">
        <v>0</v>
      </c>
      <c r="AC181" s="4">
        <v>0</v>
      </c>
      <c r="AD181" s="4">
        <v>0.5</v>
      </c>
      <c r="AE181" s="4">
        <v>0</v>
      </c>
      <c r="AF181" s="4">
        <v>0</v>
      </c>
      <c r="AG181" s="4">
        <v>0</v>
      </c>
      <c r="AH181" s="4">
        <v>3</v>
      </c>
      <c r="AI181" s="4">
        <v>0</v>
      </c>
      <c r="AJ181" s="4">
        <v>0</v>
      </c>
      <c r="AK181" s="4">
        <v>0</v>
      </c>
      <c r="AL181" s="4">
        <v>0</v>
      </c>
    </row>
    <row r="182" spans="1:38" x14ac:dyDescent="0.25">
      <c r="A182" s="4">
        <v>46</v>
      </c>
      <c r="B182" s="4" t="s">
        <v>552</v>
      </c>
      <c r="C182" s="4" t="s">
        <v>736</v>
      </c>
      <c r="D182" s="4" t="s">
        <v>238</v>
      </c>
      <c r="E182" s="4">
        <v>0</v>
      </c>
      <c r="F182" s="4">
        <v>0.5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3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</row>
    <row r="183" spans="1:38" x14ac:dyDescent="0.25">
      <c r="A183" s="4">
        <v>46</v>
      </c>
      <c r="B183" s="4" t="s">
        <v>554</v>
      </c>
      <c r="C183" s="4" t="s">
        <v>737</v>
      </c>
      <c r="D183" s="4" t="s">
        <v>238</v>
      </c>
      <c r="E183" s="4">
        <v>0</v>
      </c>
      <c r="F183" s="4">
        <v>0</v>
      </c>
      <c r="G183" s="4">
        <v>0.5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3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</row>
    <row r="184" spans="1:38" x14ac:dyDescent="0.25">
      <c r="A184" s="4">
        <v>46</v>
      </c>
      <c r="B184" s="4" t="s">
        <v>556</v>
      </c>
      <c r="C184" s="4" t="s">
        <v>738</v>
      </c>
      <c r="D184" s="4" t="s">
        <v>238</v>
      </c>
      <c r="E184" s="4">
        <v>0</v>
      </c>
      <c r="F184" s="4">
        <v>0</v>
      </c>
      <c r="G184" s="4">
        <v>0</v>
      </c>
      <c r="H184" s="4">
        <v>0.5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3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</row>
    <row r="185" spans="1:38" x14ac:dyDescent="0.25">
      <c r="A185" s="4">
        <v>46</v>
      </c>
      <c r="B185" s="4" t="s">
        <v>558</v>
      </c>
      <c r="C185" s="4" t="s">
        <v>739</v>
      </c>
      <c r="D185" s="4" t="s">
        <v>238</v>
      </c>
      <c r="E185" s="4">
        <v>0</v>
      </c>
      <c r="F185" s="4">
        <v>0</v>
      </c>
      <c r="G185" s="4">
        <v>0</v>
      </c>
      <c r="H185" s="4">
        <v>0</v>
      </c>
      <c r="I185" s="4">
        <v>0.5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3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</row>
    <row r="186" spans="1:38" x14ac:dyDescent="0.25">
      <c r="A186" s="4">
        <v>47</v>
      </c>
      <c r="B186" s="4" t="s">
        <v>552</v>
      </c>
      <c r="C186" s="4" t="s">
        <v>740</v>
      </c>
      <c r="D186" s="4" t="s">
        <v>243</v>
      </c>
      <c r="E186" s="4">
        <v>0</v>
      </c>
      <c r="F186" s="4">
        <v>0.5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3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</row>
    <row r="187" spans="1:38" x14ac:dyDescent="0.25">
      <c r="A187" s="4">
        <v>47</v>
      </c>
      <c r="B187" s="4" t="s">
        <v>554</v>
      </c>
      <c r="C187" s="4" t="s">
        <v>741</v>
      </c>
      <c r="D187" s="4" t="s">
        <v>243</v>
      </c>
      <c r="E187" s="4">
        <v>0</v>
      </c>
      <c r="F187" s="4">
        <v>0</v>
      </c>
      <c r="G187" s="4">
        <v>0.5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3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</row>
    <row r="188" spans="1:38" x14ac:dyDescent="0.25">
      <c r="A188" s="4">
        <v>47</v>
      </c>
      <c r="B188" s="4" t="s">
        <v>556</v>
      </c>
      <c r="C188" s="4" t="s">
        <v>742</v>
      </c>
      <c r="D188" s="4" t="s">
        <v>243</v>
      </c>
      <c r="E188" s="4">
        <v>0</v>
      </c>
      <c r="F188" s="4">
        <v>0</v>
      </c>
      <c r="G188" s="4">
        <v>0</v>
      </c>
      <c r="H188" s="4">
        <v>0.5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3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</row>
    <row r="189" spans="1:38" x14ac:dyDescent="0.25">
      <c r="A189" s="4">
        <v>47</v>
      </c>
      <c r="B189" s="4" t="s">
        <v>558</v>
      </c>
      <c r="C189" s="4" t="s">
        <v>743</v>
      </c>
      <c r="D189" s="4" t="s">
        <v>243</v>
      </c>
      <c r="E189" s="4">
        <v>0</v>
      </c>
      <c r="F189" s="4">
        <v>0</v>
      </c>
      <c r="G189" s="4">
        <v>0</v>
      </c>
      <c r="H189" s="4">
        <v>0</v>
      </c>
      <c r="I189" s="4">
        <v>0.5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3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</row>
    <row r="190" spans="1:38" x14ac:dyDescent="0.25">
      <c r="A190" s="4">
        <v>48</v>
      </c>
      <c r="B190" s="4" t="s">
        <v>552</v>
      </c>
      <c r="C190" s="4" t="s">
        <v>744</v>
      </c>
      <c r="D190" s="4" t="s">
        <v>248</v>
      </c>
      <c r="E190" s="4">
        <v>0</v>
      </c>
      <c r="F190" s="4">
        <v>0.5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3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</row>
    <row r="191" spans="1:38" x14ac:dyDescent="0.25">
      <c r="A191" s="4">
        <v>48</v>
      </c>
      <c r="B191" s="4" t="s">
        <v>554</v>
      </c>
      <c r="C191" s="4" t="s">
        <v>745</v>
      </c>
      <c r="D191" s="4" t="s">
        <v>248</v>
      </c>
      <c r="E191" s="4">
        <v>0</v>
      </c>
      <c r="F191" s="4">
        <v>0</v>
      </c>
      <c r="G191" s="4">
        <v>0.5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3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</row>
    <row r="192" spans="1:38" x14ac:dyDescent="0.25">
      <c r="A192" s="4">
        <v>48</v>
      </c>
      <c r="B192" s="4" t="s">
        <v>556</v>
      </c>
      <c r="C192" s="4" t="s">
        <v>746</v>
      </c>
      <c r="D192" s="4" t="s">
        <v>248</v>
      </c>
      <c r="E192" s="4">
        <v>0</v>
      </c>
      <c r="F192" s="4">
        <v>0</v>
      </c>
      <c r="G192" s="4">
        <v>0</v>
      </c>
      <c r="H192" s="4">
        <v>0.5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3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</row>
    <row r="193" spans="1:38" x14ac:dyDescent="0.25">
      <c r="A193" s="4">
        <v>48</v>
      </c>
      <c r="B193" s="4" t="s">
        <v>558</v>
      </c>
      <c r="C193" s="4" t="s">
        <v>747</v>
      </c>
      <c r="D193" s="4" t="s">
        <v>248</v>
      </c>
      <c r="E193" s="4">
        <v>0</v>
      </c>
      <c r="F193" s="4">
        <v>0</v>
      </c>
      <c r="G193" s="4">
        <v>0</v>
      </c>
      <c r="H193" s="4">
        <v>0</v>
      </c>
      <c r="I193" s="4">
        <v>0.5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3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</row>
    <row r="194" spans="1:38" x14ac:dyDescent="0.25">
      <c r="A194" s="4">
        <v>49</v>
      </c>
      <c r="B194" s="4" t="s">
        <v>552</v>
      </c>
      <c r="C194" s="4" t="s">
        <v>748</v>
      </c>
      <c r="D194" s="4" t="s">
        <v>253</v>
      </c>
      <c r="E194" s="4">
        <v>0</v>
      </c>
      <c r="F194" s="4">
        <v>0.5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3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</row>
    <row r="195" spans="1:38" x14ac:dyDescent="0.25">
      <c r="A195" s="4">
        <v>49</v>
      </c>
      <c r="B195" s="4" t="s">
        <v>554</v>
      </c>
      <c r="C195" s="4" t="s">
        <v>749</v>
      </c>
      <c r="D195" s="4" t="s">
        <v>253</v>
      </c>
      <c r="E195" s="4">
        <v>0</v>
      </c>
      <c r="F195" s="4">
        <v>0</v>
      </c>
      <c r="G195" s="4">
        <v>0.5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3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</row>
    <row r="196" spans="1:38" x14ac:dyDescent="0.25">
      <c r="A196" s="4">
        <v>49</v>
      </c>
      <c r="B196" s="4" t="s">
        <v>556</v>
      </c>
      <c r="C196" s="4" t="s">
        <v>750</v>
      </c>
      <c r="D196" s="4" t="s">
        <v>253</v>
      </c>
      <c r="E196" s="4">
        <v>0</v>
      </c>
      <c r="F196" s="4">
        <v>0</v>
      </c>
      <c r="G196" s="4">
        <v>0</v>
      </c>
      <c r="H196" s="4">
        <v>0.5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3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</row>
    <row r="197" spans="1:38" x14ac:dyDescent="0.25">
      <c r="A197" s="4">
        <v>49</v>
      </c>
      <c r="B197" s="4" t="s">
        <v>558</v>
      </c>
      <c r="C197" s="4" t="s">
        <v>751</v>
      </c>
      <c r="D197" s="4" t="s">
        <v>253</v>
      </c>
      <c r="E197" s="4">
        <v>0</v>
      </c>
      <c r="F197" s="4">
        <v>0</v>
      </c>
      <c r="G197" s="4">
        <v>0</v>
      </c>
      <c r="H197" s="4">
        <v>0</v>
      </c>
      <c r="I197" s="4">
        <v>0.5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3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</row>
    <row r="198" spans="1:38" x14ac:dyDescent="0.25">
      <c r="A198" s="4">
        <v>50</v>
      </c>
      <c r="B198" s="4" t="s">
        <v>552</v>
      </c>
      <c r="C198" s="4" t="s">
        <v>752</v>
      </c>
      <c r="D198" s="4" t="s">
        <v>258</v>
      </c>
      <c r="E198" s="4">
        <v>0</v>
      </c>
      <c r="F198" s="4">
        <v>0.5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3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</row>
    <row r="199" spans="1:38" x14ac:dyDescent="0.25">
      <c r="A199" s="4">
        <v>50</v>
      </c>
      <c r="B199" s="4" t="s">
        <v>554</v>
      </c>
      <c r="C199" s="4" t="s">
        <v>753</v>
      </c>
      <c r="D199" s="4" t="s">
        <v>258</v>
      </c>
      <c r="E199" s="4">
        <v>0</v>
      </c>
      <c r="F199" s="4">
        <v>0</v>
      </c>
      <c r="G199" s="4">
        <v>0.5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</row>
    <row r="200" spans="1:38" x14ac:dyDescent="0.25">
      <c r="A200" s="4">
        <v>50</v>
      </c>
      <c r="B200" s="4" t="s">
        <v>556</v>
      </c>
      <c r="C200" s="4" t="s">
        <v>754</v>
      </c>
      <c r="D200" s="4" t="s">
        <v>258</v>
      </c>
      <c r="E200" s="4">
        <v>0</v>
      </c>
      <c r="F200" s="4">
        <v>0</v>
      </c>
      <c r="G200" s="4">
        <v>0</v>
      </c>
      <c r="H200" s="4">
        <v>0.5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3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</row>
    <row r="201" spans="1:38" x14ac:dyDescent="0.25">
      <c r="A201" s="4">
        <v>50</v>
      </c>
      <c r="B201" s="4" t="s">
        <v>558</v>
      </c>
      <c r="C201" s="4" t="s">
        <v>755</v>
      </c>
      <c r="D201" s="4" t="s">
        <v>258</v>
      </c>
      <c r="E201" s="4">
        <v>0</v>
      </c>
      <c r="F201" s="4">
        <v>0</v>
      </c>
      <c r="G201" s="4">
        <v>0</v>
      </c>
      <c r="H201" s="4">
        <v>0</v>
      </c>
      <c r="I201" s="4">
        <v>0.5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3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</row>
    <row r="202" spans="1:38" x14ac:dyDescent="0.25">
      <c r="A202" s="4">
        <v>51</v>
      </c>
      <c r="B202" s="4" t="s">
        <v>552</v>
      </c>
      <c r="C202" s="4" t="s">
        <v>756</v>
      </c>
      <c r="D202" s="4" t="s">
        <v>264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0.5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3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</row>
    <row r="203" spans="1:38" x14ac:dyDescent="0.25">
      <c r="A203" s="4">
        <v>51</v>
      </c>
      <c r="B203" s="4" t="s">
        <v>554</v>
      </c>
      <c r="C203" s="4" t="s">
        <v>757</v>
      </c>
      <c r="D203" s="4" t="s">
        <v>264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0.5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3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</row>
    <row r="204" spans="1:38" x14ac:dyDescent="0.25">
      <c r="A204" s="4">
        <v>51</v>
      </c>
      <c r="B204" s="4" t="s">
        <v>556</v>
      </c>
      <c r="C204" s="4" t="s">
        <v>758</v>
      </c>
      <c r="D204" s="4" t="s">
        <v>264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0.5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3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</row>
    <row r="205" spans="1:38" x14ac:dyDescent="0.25">
      <c r="A205" s="4">
        <v>51</v>
      </c>
      <c r="B205" s="4" t="s">
        <v>558</v>
      </c>
      <c r="C205" s="4" t="s">
        <v>759</v>
      </c>
      <c r="D205" s="4" t="s">
        <v>264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0.5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3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</row>
    <row r="206" spans="1:38" x14ac:dyDescent="0.25">
      <c r="A206" s="4">
        <v>52</v>
      </c>
      <c r="B206" s="4" t="s">
        <v>552</v>
      </c>
      <c r="C206" s="4" t="s">
        <v>760</v>
      </c>
      <c r="D206" s="4" t="s">
        <v>268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0.5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3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</row>
    <row r="207" spans="1:38" x14ac:dyDescent="0.25">
      <c r="A207" s="4">
        <v>52</v>
      </c>
      <c r="B207" s="4" t="s">
        <v>554</v>
      </c>
      <c r="C207" s="4" t="s">
        <v>761</v>
      </c>
      <c r="D207" s="4" t="s">
        <v>268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0.5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3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</row>
    <row r="208" spans="1:38" x14ac:dyDescent="0.25">
      <c r="A208" s="4">
        <v>52</v>
      </c>
      <c r="B208" s="4" t="s">
        <v>556</v>
      </c>
      <c r="C208" s="4" t="s">
        <v>762</v>
      </c>
      <c r="D208" s="4" t="s">
        <v>268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0.5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3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</row>
    <row r="209" spans="1:38" x14ac:dyDescent="0.25">
      <c r="A209" s="4">
        <v>52</v>
      </c>
      <c r="B209" s="4" t="s">
        <v>558</v>
      </c>
      <c r="C209" s="4" t="s">
        <v>763</v>
      </c>
      <c r="D209" s="4" t="s">
        <v>268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0.5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3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</row>
    <row r="210" spans="1:38" x14ac:dyDescent="0.25">
      <c r="A210" s="4">
        <v>53</v>
      </c>
      <c r="B210" s="4" t="s">
        <v>552</v>
      </c>
      <c r="C210" s="4" t="s">
        <v>764</v>
      </c>
      <c r="D210" s="4" t="s">
        <v>273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0.5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3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</row>
    <row r="211" spans="1:38" x14ac:dyDescent="0.25">
      <c r="A211" s="4">
        <v>53</v>
      </c>
      <c r="B211" s="4" t="s">
        <v>554</v>
      </c>
      <c r="C211" s="4" t="s">
        <v>765</v>
      </c>
      <c r="D211" s="4" t="s">
        <v>273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0.5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3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</row>
    <row r="212" spans="1:38" x14ac:dyDescent="0.25">
      <c r="A212" s="4">
        <v>53</v>
      </c>
      <c r="B212" s="4" t="s">
        <v>556</v>
      </c>
      <c r="C212" s="4" t="s">
        <v>766</v>
      </c>
      <c r="D212" s="4" t="s">
        <v>273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0.5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3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</row>
    <row r="213" spans="1:38" x14ac:dyDescent="0.25">
      <c r="A213" s="4">
        <v>53</v>
      </c>
      <c r="B213" s="4" t="s">
        <v>558</v>
      </c>
      <c r="C213" s="4" t="s">
        <v>767</v>
      </c>
      <c r="D213" s="4" t="s">
        <v>273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0.5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</row>
    <row r="214" spans="1:38" x14ac:dyDescent="0.25">
      <c r="A214" s="4">
        <v>54</v>
      </c>
      <c r="B214" s="4" t="s">
        <v>552</v>
      </c>
      <c r="C214" s="4" t="s">
        <v>768</v>
      </c>
      <c r="D214" s="4" t="s">
        <v>277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0.5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3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</row>
    <row r="215" spans="1:38" x14ac:dyDescent="0.25">
      <c r="A215" s="4">
        <v>54</v>
      </c>
      <c r="B215" s="4" t="s">
        <v>554</v>
      </c>
      <c r="C215" s="4" t="s">
        <v>769</v>
      </c>
      <c r="D215" s="4" t="s">
        <v>277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0.5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3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</row>
    <row r="216" spans="1:38" x14ac:dyDescent="0.25">
      <c r="A216" s="4">
        <v>54</v>
      </c>
      <c r="B216" s="4" t="s">
        <v>556</v>
      </c>
      <c r="C216" s="4" t="s">
        <v>770</v>
      </c>
      <c r="D216" s="4" t="s">
        <v>277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0.5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3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</row>
    <row r="217" spans="1:38" x14ac:dyDescent="0.25">
      <c r="A217" s="4">
        <v>54</v>
      </c>
      <c r="B217" s="4" t="s">
        <v>558</v>
      </c>
      <c r="C217" s="4" t="s">
        <v>771</v>
      </c>
      <c r="D217" s="4" t="s">
        <v>277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0.5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3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</row>
    <row r="218" spans="1:38" x14ac:dyDescent="0.25">
      <c r="A218" s="4">
        <v>55</v>
      </c>
      <c r="B218" s="4" t="s">
        <v>552</v>
      </c>
      <c r="C218" s="4" t="s">
        <v>772</v>
      </c>
      <c r="D218" s="4" t="s">
        <v>281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0.5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3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</row>
    <row r="219" spans="1:38" x14ac:dyDescent="0.25">
      <c r="A219" s="4">
        <v>55</v>
      </c>
      <c r="B219" s="4" t="s">
        <v>554</v>
      </c>
      <c r="C219" s="4" t="s">
        <v>773</v>
      </c>
      <c r="D219" s="4" t="s">
        <v>281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0.5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3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</row>
    <row r="220" spans="1:38" x14ac:dyDescent="0.25">
      <c r="A220" s="4">
        <v>55</v>
      </c>
      <c r="B220" s="4" t="s">
        <v>556</v>
      </c>
      <c r="C220" s="4" t="s">
        <v>774</v>
      </c>
      <c r="D220" s="4" t="s">
        <v>281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0.5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3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</row>
    <row r="221" spans="1:38" x14ac:dyDescent="0.25">
      <c r="A221" s="4">
        <v>55</v>
      </c>
      <c r="B221" s="4" t="s">
        <v>558</v>
      </c>
      <c r="C221" s="4" t="s">
        <v>775</v>
      </c>
      <c r="D221" s="4" t="s">
        <v>281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0.5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3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</row>
    <row r="222" spans="1:38" x14ac:dyDescent="0.25">
      <c r="A222" s="4">
        <v>56</v>
      </c>
      <c r="B222" s="4" t="s">
        <v>552</v>
      </c>
      <c r="C222" s="4" t="s">
        <v>776</v>
      </c>
      <c r="D222" s="4" t="s">
        <v>287</v>
      </c>
      <c r="E222" s="4">
        <v>0</v>
      </c>
      <c r="F222" s="4">
        <v>3</v>
      </c>
      <c r="G222" s="4">
        <v>0</v>
      </c>
      <c r="H222" s="4">
        <v>0</v>
      </c>
      <c r="I222" s="4">
        <v>0</v>
      </c>
      <c r="J222" s="4">
        <v>0.5</v>
      </c>
      <c r="K222" s="4">
        <v>0</v>
      </c>
      <c r="L222" s="4">
        <v>0</v>
      </c>
      <c r="M222" s="4">
        <v>0</v>
      </c>
      <c r="N222" s="4">
        <v>0.5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3</v>
      </c>
      <c r="AJ222" s="4">
        <v>0</v>
      </c>
      <c r="AK222" s="4">
        <v>0</v>
      </c>
      <c r="AL222" s="4">
        <v>0</v>
      </c>
    </row>
    <row r="223" spans="1:38" x14ac:dyDescent="0.25">
      <c r="A223" s="4">
        <v>56</v>
      </c>
      <c r="B223" s="4" t="s">
        <v>554</v>
      </c>
      <c r="C223" s="4" t="s">
        <v>777</v>
      </c>
      <c r="D223" s="4" t="s">
        <v>287</v>
      </c>
      <c r="E223" s="4">
        <v>0</v>
      </c>
      <c r="F223" s="4">
        <v>0</v>
      </c>
      <c r="G223" s="4">
        <v>3</v>
      </c>
      <c r="H223" s="4">
        <v>0</v>
      </c>
      <c r="I223" s="4">
        <v>0</v>
      </c>
      <c r="J223" s="4">
        <v>0</v>
      </c>
      <c r="K223" s="4">
        <v>0.5</v>
      </c>
      <c r="L223" s="4">
        <v>0</v>
      </c>
      <c r="M223" s="4">
        <v>0</v>
      </c>
      <c r="N223" s="4">
        <v>0</v>
      </c>
      <c r="O223" s="4">
        <v>0.5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3</v>
      </c>
      <c r="AK223" s="4">
        <v>0</v>
      </c>
      <c r="AL223" s="4">
        <v>0</v>
      </c>
    </row>
    <row r="224" spans="1:38" x14ac:dyDescent="0.25">
      <c r="A224" s="4">
        <v>56</v>
      </c>
      <c r="B224" s="4" t="s">
        <v>556</v>
      </c>
      <c r="C224" s="4" t="s">
        <v>778</v>
      </c>
      <c r="D224" s="4" t="s">
        <v>287</v>
      </c>
      <c r="E224" s="4">
        <v>0</v>
      </c>
      <c r="F224" s="4">
        <v>0</v>
      </c>
      <c r="G224" s="4">
        <v>0</v>
      </c>
      <c r="H224" s="4">
        <v>3</v>
      </c>
      <c r="I224" s="4">
        <v>0</v>
      </c>
      <c r="J224" s="4">
        <v>0</v>
      </c>
      <c r="K224" s="4">
        <v>0</v>
      </c>
      <c r="L224" s="4">
        <v>0.5</v>
      </c>
      <c r="M224" s="4">
        <v>0</v>
      </c>
      <c r="N224" s="4">
        <v>0</v>
      </c>
      <c r="O224" s="4">
        <v>0</v>
      </c>
      <c r="P224" s="4">
        <v>0.5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3</v>
      </c>
      <c r="AL224" s="4">
        <v>0</v>
      </c>
    </row>
    <row r="225" spans="1:38" x14ac:dyDescent="0.25">
      <c r="A225" s="4">
        <v>56</v>
      </c>
      <c r="B225" s="4" t="s">
        <v>558</v>
      </c>
      <c r="C225" s="4" t="s">
        <v>779</v>
      </c>
      <c r="D225" s="4" t="s">
        <v>287</v>
      </c>
      <c r="E225" s="4">
        <v>0</v>
      </c>
      <c r="F225" s="4">
        <v>0</v>
      </c>
      <c r="G225" s="4">
        <v>0</v>
      </c>
      <c r="H225" s="4">
        <v>0</v>
      </c>
      <c r="I225" s="4">
        <v>3</v>
      </c>
      <c r="J225" s="4">
        <v>0</v>
      </c>
      <c r="K225" s="4">
        <v>0</v>
      </c>
      <c r="L225" s="4">
        <v>0</v>
      </c>
      <c r="M225" s="4">
        <v>0.5</v>
      </c>
      <c r="N225" s="4">
        <v>0</v>
      </c>
      <c r="O225" s="4">
        <v>0</v>
      </c>
      <c r="P225" s="4">
        <v>0</v>
      </c>
      <c r="Q225" s="4">
        <v>0.5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3</v>
      </c>
    </row>
    <row r="226" spans="1:38" x14ac:dyDescent="0.25">
      <c r="A226" s="4">
        <v>57</v>
      </c>
      <c r="B226" s="4" t="s">
        <v>552</v>
      </c>
      <c r="C226" s="4" t="s">
        <v>780</v>
      </c>
      <c r="D226" s="4" t="s">
        <v>292</v>
      </c>
      <c r="E226" s="4">
        <v>0</v>
      </c>
      <c r="F226" s="4">
        <v>3</v>
      </c>
      <c r="G226" s="4">
        <v>0</v>
      </c>
      <c r="H226" s="4">
        <v>0</v>
      </c>
      <c r="I226" s="4">
        <v>0</v>
      </c>
      <c r="J226" s="4">
        <v>0.5</v>
      </c>
      <c r="K226" s="4">
        <v>0</v>
      </c>
      <c r="L226" s="4">
        <v>0</v>
      </c>
      <c r="M226" s="4">
        <v>0</v>
      </c>
      <c r="N226" s="4">
        <v>0.5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3</v>
      </c>
      <c r="AJ226" s="4">
        <v>0</v>
      </c>
      <c r="AK226" s="4">
        <v>0</v>
      </c>
      <c r="AL226" s="4">
        <v>0</v>
      </c>
    </row>
    <row r="227" spans="1:38" x14ac:dyDescent="0.25">
      <c r="A227" s="4">
        <v>57</v>
      </c>
      <c r="B227" s="4" t="s">
        <v>554</v>
      </c>
      <c r="C227" s="4" t="s">
        <v>781</v>
      </c>
      <c r="D227" s="4" t="s">
        <v>292</v>
      </c>
      <c r="E227" s="4">
        <v>0</v>
      </c>
      <c r="F227" s="4">
        <v>0</v>
      </c>
      <c r="G227" s="4">
        <v>3</v>
      </c>
      <c r="H227" s="4">
        <v>0</v>
      </c>
      <c r="I227" s="4">
        <v>0</v>
      </c>
      <c r="J227" s="4">
        <v>0</v>
      </c>
      <c r="K227" s="4">
        <v>0.5</v>
      </c>
      <c r="L227" s="4">
        <v>0</v>
      </c>
      <c r="M227" s="4">
        <v>0</v>
      </c>
      <c r="N227" s="4">
        <v>0</v>
      </c>
      <c r="O227" s="4">
        <v>0.5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3</v>
      </c>
      <c r="AK227" s="4">
        <v>0</v>
      </c>
      <c r="AL227" s="4">
        <v>0</v>
      </c>
    </row>
    <row r="228" spans="1:38" x14ac:dyDescent="0.25">
      <c r="A228" s="4">
        <v>57</v>
      </c>
      <c r="B228" s="4" t="s">
        <v>556</v>
      </c>
      <c r="C228" s="4" t="s">
        <v>782</v>
      </c>
      <c r="D228" s="4" t="s">
        <v>292</v>
      </c>
      <c r="E228" s="4">
        <v>0</v>
      </c>
      <c r="F228" s="4">
        <v>0</v>
      </c>
      <c r="G228" s="4">
        <v>0</v>
      </c>
      <c r="H228" s="4">
        <v>3</v>
      </c>
      <c r="I228" s="4">
        <v>0</v>
      </c>
      <c r="J228" s="4">
        <v>0</v>
      </c>
      <c r="K228" s="4">
        <v>0</v>
      </c>
      <c r="L228" s="4">
        <v>0.5</v>
      </c>
      <c r="M228" s="4">
        <v>0</v>
      </c>
      <c r="N228" s="4">
        <v>0</v>
      </c>
      <c r="O228" s="4">
        <v>0</v>
      </c>
      <c r="P228" s="4">
        <v>0.5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3</v>
      </c>
      <c r="AL228" s="4">
        <v>0</v>
      </c>
    </row>
    <row r="229" spans="1:38" x14ac:dyDescent="0.25">
      <c r="A229" s="4">
        <v>57</v>
      </c>
      <c r="B229" s="4" t="s">
        <v>558</v>
      </c>
      <c r="C229" s="4" t="s">
        <v>783</v>
      </c>
      <c r="D229" s="4" t="s">
        <v>292</v>
      </c>
      <c r="E229" s="4">
        <v>0</v>
      </c>
      <c r="F229" s="4">
        <v>0</v>
      </c>
      <c r="G229" s="4">
        <v>0</v>
      </c>
      <c r="H229" s="4">
        <v>0</v>
      </c>
      <c r="I229" s="4">
        <v>3</v>
      </c>
      <c r="J229" s="4">
        <v>0</v>
      </c>
      <c r="K229" s="4">
        <v>0</v>
      </c>
      <c r="L229" s="4">
        <v>0</v>
      </c>
      <c r="M229" s="4">
        <v>0.5</v>
      </c>
      <c r="N229" s="4">
        <v>0</v>
      </c>
      <c r="O229" s="4">
        <v>0</v>
      </c>
      <c r="P229" s="4">
        <v>0</v>
      </c>
      <c r="Q229" s="4">
        <v>0.5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3</v>
      </c>
    </row>
    <row r="230" spans="1:38" x14ac:dyDescent="0.25">
      <c r="A230" s="4">
        <v>58</v>
      </c>
      <c r="B230" s="4" t="s">
        <v>552</v>
      </c>
      <c r="C230" s="4" t="s">
        <v>784</v>
      </c>
      <c r="D230" s="4" t="s">
        <v>295</v>
      </c>
      <c r="E230" s="4">
        <v>0</v>
      </c>
      <c r="F230" s="4">
        <v>3</v>
      </c>
      <c r="G230" s="4">
        <v>0</v>
      </c>
      <c r="H230" s="4">
        <v>0</v>
      </c>
      <c r="I230" s="4">
        <v>0</v>
      </c>
      <c r="J230" s="4">
        <v>0.5</v>
      </c>
      <c r="K230" s="4">
        <v>0</v>
      </c>
      <c r="L230" s="4">
        <v>0</v>
      </c>
      <c r="M230" s="4">
        <v>0</v>
      </c>
      <c r="N230" s="4">
        <v>0.5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3</v>
      </c>
      <c r="AJ230" s="4">
        <v>0</v>
      </c>
      <c r="AK230" s="4">
        <v>0</v>
      </c>
      <c r="AL230" s="4">
        <v>0</v>
      </c>
    </row>
    <row r="231" spans="1:38" x14ac:dyDescent="0.25">
      <c r="A231" s="4">
        <v>58</v>
      </c>
      <c r="B231" s="4" t="s">
        <v>554</v>
      </c>
      <c r="C231" s="4" t="s">
        <v>785</v>
      </c>
      <c r="D231" s="4" t="s">
        <v>295</v>
      </c>
      <c r="E231" s="4">
        <v>0</v>
      </c>
      <c r="F231" s="4">
        <v>0</v>
      </c>
      <c r="G231" s="4">
        <v>3</v>
      </c>
      <c r="H231" s="4">
        <v>0</v>
      </c>
      <c r="I231" s="4">
        <v>0</v>
      </c>
      <c r="J231" s="4">
        <v>0</v>
      </c>
      <c r="K231" s="4">
        <v>0.5</v>
      </c>
      <c r="L231" s="4">
        <v>0</v>
      </c>
      <c r="M231" s="4">
        <v>0</v>
      </c>
      <c r="N231" s="4">
        <v>0</v>
      </c>
      <c r="O231" s="4">
        <v>0.5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3</v>
      </c>
      <c r="AK231" s="4">
        <v>0</v>
      </c>
      <c r="AL231" s="4">
        <v>0</v>
      </c>
    </row>
    <row r="232" spans="1:38" x14ac:dyDescent="0.25">
      <c r="A232" s="4">
        <v>58</v>
      </c>
      <c r="B232" s="4" t="s">
        <v>556</v>
      </c>
      <c r="C232" s="4" t="s">
        <v>786</v>
      </c>
      <c r="D232" s="4" t="s">
        <v>295</v>
      </c>
      <c r="E232" s="4">
        <v>0</v>
      </c>
      <c r="F232" s="4">
        <v>0</v>
      </c>
      <c r="G232" s="4">
        <v>0</v>
      </c>
      <c r="H232" s="4">
        <v>3</v>
      </c>
      <c r="I232" s="4">
        <v>0</v>
      </c>
      <c r="J232" s="4">
        <v>0</v>
      </c>
      <c r="K232" s="4">
        <v>0</v>
      </c>
      <c r="L232" s="4">
        <v>0.5</v>
      </c>
      <c r="M232" s="4">
        <v>0</v>
      </c>
      <c r="N232" s="4">
        <v>0</v>
      </c>
      <c r="O232" s="4">
        <v>0</v>
      </c>
      <c r="P232" s="4">
        <v>0.5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3</v>
      </c>
      <c r="AL232" s="4">
        <v>0</v>
      </c>
    </row>
    <row r="233" spans="1:38" x14ac:dyDescent="0.25">
      <c r="A233" s="4">
        <v>58</v>
      </c>
      <c r="B233" s="4" t="s">
        <v>558</v>
      </c>
      <c r="C233" s="4" t="s">
        <v>787</v>
      </c>
      <c r="D233" s="4" t="s">
        <v>295</v>
      </c>
      <c r="E233" s="4">
        <v>0</v>
      </c>
      <c r="F233" s="4">
        <v>0</v>
      </c>
      <c r="G233" s="4">
        <v>0</v>
      </c>
      <c r="H233" s="4">
        <v>0</v>
      </c>
      <c r="I233" s="4">
        <v>3</v>
      </c>
      <c r="J233" s="4">
        <v>0</v>
      </c>
      <c r="K233" s="4">
        <v>0</v>
      </c>
      <c r="L233" s="4">
        <v>0</v>
      </c>
      <c r="M233" s="4">
        <v>0.5</v>
      </c>
      <c r="N233" s="4">
        <v>0</v>
      </c>
      <c r="O233" s="4">
        <v>0</v>
      </c>
      <c r="P233" s="4">
        <v>0</v>
      </c>
      <c r="Q233" s="4">
        <v>0.5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3</v>
      </c>
    </row>
    <row r="234" spans="1:38" x14ac:dyDescent="0.25">
      <c r="A234" s="4">
        <v>59</v>
      </c>
      <c r="B234" s="4" t="s">
        <v>552</v>
      </c>
      <c r="C234" s="4" t="s">
        <v>788</v>
      </c>
      <c r="D234" s="4" t="s">
        <v>300</v>
      </c>
      <c r="E234" s="4">
        <v>0</v>
      </c>
      <c r="F234" s="4">
        <v>3</v>
      </c>
      <c r="G234" s="4">
        <v>0</v>
      </c>
      <c r="H234" s="4">
        <v>0</v>
      </c>
      <c r="I234" s="4">
        <v>0</v>
      </c>
      <c r="J234" s="4">
        <v>0.5</v>
      </c>
      <c r="K234" s="4">
        <v>0</v>
      </c>
      <c r="L234" s="4">
        <v>0</v>
      </c>
      <c r="M234" s="4">
        <v>0</v>
      </c>
      <c r="N234" s="4">
        <v>0.5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3</v>
      </c>
      <c r="AJ234" s="4">
        <v>0</v>
      </c>
      <c r="AK234" s="4">
        <v>0</v>
      </c>
      <c r="AL234" s="4">
        <v>0</v>
      </c>
    </row>
    <row r="235" spans="1:38" x14ac:dyDescent="0.25">
      <c r="A235" s="4">
        <v>59</v>
      </c>
      <c r="B235" s="4" t="s">
        <v>554</v>
      </c>
      <c r="C235" s="4" t="s">
        <v>789</v>
      </c>
      <c r="D235" s="4" t="s">
        <v>300</v>
      </c>
      <c r="E235" s="4">
        <v>0</v>
      </c>
      <c r="F235" s="4">
        <v>0</v>
      </c>
      <c r="G235" s="4">
        <v>3</v>
      </c>
      <c r="H235" s="4">
        <v>0</v>
      </c>
      <c r="I235" s="4">
        <v>0</v>
      </c>
      <c r="J235" s="4">
        <v>0</v>
      </c>
      <c r="K235" s="4">
        <v>0.5</v>
      </c>
      <c r="L235" s="4">
        <v>0</v>
      </c>
      <c r="M235" s="4">
        <v>0</v>
      </c>
      <c r="N235" s="4">
        <v>0</v>
      </c>
      <c r="O235" s="4">
        <v>0.5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3</v>
      </c>
      <c r="AK235" s="4">
        <v>0</v>
      </c>
      <c r="AL235" s="4">
        <v>0</v>
      </c>
    </row>
    <row r="236" spans="1:38" x14ac:dyDescent="0.25">
      <c r="A236" s="4">
        <v>59</v>
      </c>
      <c r="B236" s="4" t="s">
        <v>556</v>
      </c>
      <c r="C236" s="4" t="s">
        <v>790</v>
      </c>
      <c r="D236" s="4" t="s">
        <v>300</v>
      </c>
      <c r="E236" s="4">
        <v>0</v>
      </c>
      <c r="F236" s="4">
        <v>0</v>
      </c>
      <c r="G236" s="4">
        <v>0</v>
      </c>
      <c r="H236" s="4">
        <v>3</v>
      </c>
      <c r="I236" s="4">
        <v>0</v>
      </c>
      <c r="J236" s="4">
        <v>0</v>
      </c>
      <c r="K236" s="4">
        <v>0</v>
      </c>
      <c r="L236" s="4">
        <v>0.5</v>
      </c>
      <c r="M236" s="4">
        <v>0</v>
      </c>
      <c r="N236" s="4">
        <v>0</v>
      </c>
      <c r="O236" s="4">
        <v>0</v>
      </c>
      <c r="P236" s="4">
        <v>0.5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3</v>
      </c>
      <c r="AL236" s="4">
        <v>0</v>
      </c>
    </row>
    <row r="237" spans="1:38" x14ac:dyDescent="0.25">
      <c r="A237" s="4">
        <v>59</v>
      </c>
      <c r="B237" s="4" t="s">
        <v>558</v>
      </c>
      <c r="C237" s="4" t="s">
        <v>791</v>
      </c>
      <c r="D237" s="4" t="s">
        <v>300</v>
      </c>
      <c r="E237" s="4">
        <v>0</v>
      </c>
      <c r="F237" s="4">
        <v>0</v>
      </c>
      <c r="G237" s="4">
        <v>0</v>
      </c>
      <c r="H237" s="4">
        <v>0</v>
      </c>
      <c r="I237" s="4">
        <v>3</v>
      </c>
      <c r="J237" s="4">
        <v>0</v>
      </c>
      <c r="K237" s="4">
        <v>0</v>
      </c>
      <c r="L237" s="4">
        <v>0</v>
      </c>
      <c r="M237" s="4">
        <v>0.5</v>
      </c>
      <c r="N237" s="4">
        <v>0</v>
      </c>
      <c r="O237" s="4">
        <v>0</v>
      </c>
      <c r="P237" s="4">
        <v>0</v>
      </c>
      <c r="Q237" s="4">
        <v>0.5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3</v>
      </c>
    </row>
    <row r="238" spans="1:38" ht="30" x14ac:dyDescent="0.25">
      <c r="A238" s="4">
        <v>60</v>
      </c>
      <c r="B238" s="4" t="s">
        <v>552</v>
      </c>
      <c r="C238" s="4" t="s">
        <v>792</v>
      </c>
      <c r="D238" s="4" t="s">
        <v>305</v>
      </c>
      <c r="E238" s="4">
        <v>0</v>
      </c>
      <c r="F238" s="4">
        <v>3</v>
      </c>
      <c r="G238" s="4">
        <v>0</v>
      </c>
      <c r="H238" s="4">
        <v>0</v>
      </c>
      <c r="I238" s="4">
        <v>0</v>
      </c>
      <c r="J238" s="4">
        <v>0.5</v>
      </c>
      <c r="K238" s="4">
        <v>0</v>
      </c>
      <c r="L238" s="4">
        <v>0</v>
      </c>
      <c r="M238" s="4">
        <v>0</v>
      </c>
      <c r="N238" s="4">
        <v>0.5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</row>
    <row r="239" spans="1:38" ht="30" x14ac:dyDescent="0.25">
      <c r="A239" s="4">
        <v>60</v>
      </c>
      <c r="B239" s="4" t="s">
        <v>554</v>
      </c>
      <c r="C239" s="4" t="s">
        <v>793</v>
      </c>
      <c r="D239" s="4" t="s">
        <v>305</v>
      </c>
      <c r="E239" s="4">
        <v>0</v>
      </c>
      <c r="F239" s="4">
        <v>0</v>
      </c>
      <c r="G239" s="4">
        <v>3</v>
      </c>
      <c r="H239" s="4">
        <v>0</v>
      </c>
      <c r="I239" s="4">
        <v>0</v>
      </c>
      <c r="J239" s="4">
        <v>0</v>
      </c>
      <c r="K239" s="4">
        <v>0.5</v>
      </c>
      <c r="L239" s="4">
        <v>0</v>
      </c>
      <c r="M239" s="4">
        <v>0</v>
      </c>
      <c r="N239" s="4">
        <v>0</v>
      </c>
      <c r="O239" s="4">
        <v>0.5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</row>
    <row r="240" spans="1:38" ht="30" x14ac:dyDescent="0.25">
      <c r="A240" s="4">
        <v>60</v>
      </c>
      <c r="B240" s="4" t="s">
        <v>556</v>
      </c>
      <c r="C240" s="4" t="s">
        <v>794</v>
      </c>
      <c r="D240" s="4" t="s">
        <v>305</v>
      </c>
      <c r="E240" s="4">
        <v>0</v>
      </c>
      <c r="F240" s="4">
        <v>0</v>
      </c>
      <c r="G240" s="4">
        <v>0</v>
      </c>
      <c r="H240" s="4">
        <v>3</v>
      </c>
      <c r="I240" s="4">
        <v>0</v>
      </c>
      <c r="J240" s="4">
        <v>0</v>
      </c>
      <c r="K240" s="4">
        <v>0</v>
      </c>
      <c r="L240" s="4">
        <v>0.5</v>
      </c>
      <c r="M240" s="4">
        <v>0</v>
      </c>
      <c r="N240" s="4">
        <v>0</v>
      </c>
      <c r="O240" s="4">
        <v>0</v>
      </c>
      <c r="P240" s="4">
        <v>0.5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</row>
    <row r="241" spans="1:38" ht="30" x14ac:dyDescent="0.25">
      <c r="A241" s="4">
        <v>60</v>
      </c>
      <c r="B241" s="4" t="s">
        <v>558</v>
      </c>
      <c r="C241" s="4" t="s">
        <v>795</v>
      </c>
      <c r="D241" s="4" t="s">
        <v>305</v>
      </c>
      <c r="E241" s="4">
        <v>0</v>
      </c>
      <c r="F241" s="4">
        <v>0</v>
      </c>
      <c r="G241" s="4">
        <v>0</v>
      </c>
      <c r="H241" s="4">
        <v>0</v>
      </c>
      <c r="I241" s="4">
        <v>3</v>
      </c>
      <c r="J241" s="4">
        <v>0</v>
      </c>
      <c r="K241" s="4">
        <v>0</v>
      </c>
      <c r="L241" s="4">
        <v>0</v>
      </c>
      <c r="M241" s="4">
        <v>0.5</v>
      </c>
      <c r="N241" s="4">
        <v>0</v>
      </c>
      <c r="O241" s="4">
        <v>0</v>
      </c>
      <c r="P241" s="4">
        <v>0</v>
      </c>
      <c r="Q241" s="4">
        <v>0.5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</row>
    <row r="242" spans="1:38" x14ac:dyDescent="0.25">
      <c r="A242" s="4">
        <v>61</v>
      </c>
      <c r="B242" s="4" t="s">
        <v>552</v>
      </c>
      <c r="C242" s="4" t="s">
        <v>796</v>
      </c>
      <c r="D242" s="4" t="s">
        <v>310</v>
      </c>
      <c r="E242" s="4">
        <v>1</v>
      </c>
      <c r="F242" s="4">
        <v>3</v>
      </c>
      <c r="G242" s="4">
        <v>0</v>
      </c>
      <c r="H242" s="4">
        <v>0</v>
      </c>
      <c r="I242" s="4">
        <v>0</v>
      </c>
      <c r="J242" s="4">
        <v>0.5</v>
      </c>
      <c r="K242" s="4">
        <v>0</v>
      </c>
      <c r="L242" s="4">
        <v>0</v>
      </c>
      <c r="M242" s="4">
        <v>0</v>
      </c>
      <c r="N242" s="4">
        <v>0.5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</row>
    <row r="243" spans="1:38" x14ac:dyDescent="0.25">
      <c r="A243" s="4">
        <v>61</v>
      </c>
      <c r="B243" s="4" t="s">
        <v>554</v>
      </c>
      <c r="C243" s="4" t="s">
        <v>797</v>
      </c>
      <c r="D243" s="4" t="s">
        <v>310</v>
      </c>
      <c r="E243" s="4">
        <v>1</v>
      </c>
      <c r="F243" s="4">
        <v>0</v>
      </c>
      <c r="G243" s="4">
        <v>3</v>
      </c>
      <c r="H243" s="4">
        <v>0</v>
      </c>
      <c r="I243" s="4">
        <v>0</v>
      </c>
      <c r="J243" s="4">
        <v>0</v>
      </c>
      <c r="K243" s="4">
        <v>0.5</v>
      </c>
      <c r="L243" s="4">
        <v>0</v>
      </c>
      <c r="M243" s="4">
        <v>0</v>
      </c>
      <c r="N243" s="4">
        <v>0</v>
      </c>
      <c r="O243" s="4">
        <v>0.5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</row>
    <row r="244" spans="1:38" x14ac:dyDescent="0.25">
      <c r="A244" s="4">
        <v>61</v>
      </c>
      <c r="B244" s="4" t="s">
        <v>556</v>
      </c>
      <c r="C244" s="4" t="s">
        <v>798</v>
      </c>
      <c r="D244" s="4" t="s">
        <v>310</v>
      </c>
      <c r="E244" s="4">
        <v>1</v>
      </c>
      <c r="F244" s="4">
        <v>0</v>
      </c>
      <c r="G244" s="4">
        <v>0</v>
      </c>
      <c r="H244" s="4">
        <v>3</v>
      </c>
      <c r="I244" s="4">
        <v>0</v>
      </c>
      <c r="J244" s="4">
        <v>0</v>
      </c>
      <c r="K244" s="4">
        <v>0</v>
      </c>
      <c r="L244" s="4">
        <v>0.5</v>
      </c>
      <c r="M244" s="4">
        <v>0</v>
      </c>
      <c r="N244" s="4">
        <v>0</v>
      </c>
      <c r="O244" s="4">
        <v>0</v>
      </c>
      <c r="P244" s="4">
        <v>0.5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</row>
    <row r="245" spans="1:38" x14ac:dyDescent="0.25">
      <c r="A245" s="4">
        <v>61</v>
      </c>
      <c r="B245" s="4" t="s">
        <v>558</v>
      </c>
      <c r="C245" s="4" t="s">
        <v>799</v>
      </c>
      <c r="D245" s="4" t="s">
        <v>310</v>
      </c>
      <c r="E245" s="4">
        <v>1</v>
      </c>
      <c r="F245" s="4">
        <v>0</v>
      </c>
      <c r="G245" s="4">
        <v>0</v>
      </c>
      <c r="H245" s="4">
        <v>0</v>
      </c>
      <c r="I245" s="4">
        <v>3</v>
      </c>
      <c r="J245" s="4">
        <v>0</v>
      </c>
      <c r="K245" s="4">
        <v>0</v>
      </c>
      <c r="L245" s="4">
        <v>0</v>
      </c>
      <c r="M245" s="4">
        <v>0.5</v>
      </c>
      <c r="N245" s="4">
        <v>0</v>
      </c>
      <c r="O245" s="4">
        <v>0</v>
      </c>
      <c r="P245" s="4">
        <v>0</v>
      </c>
      <c r="Q245" s="4">
        <v>0.5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</row>
    <row r="246" spans="1:38" x14ac:dyDescent="0.25">
      <c r="A246" s="4">
        <v>62</v>
      </c>
      <c r="B246" s="4" t="s">
        <v>552</v>
      </c>
      <c r="C246" s="4" t="s">
        <v>800</v>
      </c>
      <c r="D246" s="4" t="s">
        <v>315</v>
      </c>
      <c r="E246" s="4">
        <v>0</v>
      </c>
      <c r="F246" s="4">
        <v>3</v>
      </c>
      <c r="G246" s="4">
        <v>0</v>
      </c>
      <c r="H246" s="4">
        <v>0</v>
      </c>
      <c r="I246" s="4">
        <v>0</v>
      </c>
      <c r="J246" s="4">
        <v>0.5</v>
      </c>
      <c r="K246" s="4">
        <v>0</v>
      </c>
      <c r="L246" s="4">
        <v>0</v>
      </c>
      <c r="M246" s="4">
        <v>0</v>
      </c>
      <c r="N246" s="4">
        <v>0.5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</row>
    <row r="247" spans="1:38" x14ac:dyDescent="0.25">
      <c r="A247" s="4">
        <v>62</v>
      </c>
      <c r="B247" s="4" t="s">
        <v>554</v>
      </c>
      <c r="C247" s="4" t="s">
        <v>801</v>
      </c>
      <c r="D247" s="4" t="s">
        <v>315</v>
      </c>
      <c r="E247" s="4">
        <v>0</v>
      </c>
      <c r="F247" s="4">
        <v>0</v>
      </c>
      <c r="G247" s="4">
        <v>3</v>
      </c>
      <c r="H247" s="4">
        <v>0</v>
      </c>
      <c r="I247" s="4">
        <v>0</v>
      </c>
      <c r="J247" s="4">
        <v>0</v>
      </c>
      <c r="K247" s="4">
        <v>0.5</v>
      </c>
      <c r="L247" s="4">
        <v>0</v>
      </c>
      <c r="M247" s="4">
        <v>0</v>
      </c>
      <c r="N247" s="4">
        <v>0</v>
      </c>
      <c r="O247" s="4">
        <v>0.5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</row>
    <row r="248" spans="1:38" x14ac:dyDescent="0.25">
      <c r="A248" s="4">
        <v>62</v>
      </c>
      <c r="B248" s="4" t="s">
        <v>556</v>
      </c>
      <c r="C248" s="4" t="s">
        <v>802</v>
      </c>
      <c r="D248" s="4" t="s">
        <v>315</v>
      </c>
      <c r="E248" s="4">
        <v>0</v>
      </c>
      <c r="F248" s="4">
        <v>0</v>
      </c>
      <c r="G248" s="4">
        <v>0</v>
      </c>
      <c r="H248" s="4">
        <v>3</v>
      </c>
      <c r="I248" s="4">
        <v>0</v>
      </c>
      <c r="J248" s="4">
        <v>0</v>
      </c>
      <c r="K248" s="4">
        <v>0</v>
      </c>
      <c r="L248" s="4">
        <v>0.5</v>
      </c>
      <c r="M248" s="4">
        <v>0</v>
      </c>
      <c r="N248" s="4">
        <v>0</v>
      </c>
      <c r="O248" s="4">
        <v>0</v>
      </c>
      <c r="P248" s="4">
        <v>0.5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</row>
    <row r="249" spans="1:38" x14ac:dyDescent="0.25">
      <c r="A249" s="4">
        <v>62</v>
      </c>
      <c r="B249" s="4" t="s">
        <v>558</v>
      </c>
      <c r="C249" s="4" t="s">
        <v>803</v>
      </c>
      <c r="D249" s="4" t="s">
        <v>315</v>
      </c>
      <c r="E249" s="4">
        <v>0</v>
      </c>
      <c r="F249" s="4">
        <v>0</v>
      </c>
      <c r="G249" s="4">
        <v>0</v>
      </c>
      <c r="H249" s="4">
        <v>0</v>
      </c>
      <c r="I249" s="4">
        <v>3</v>
      </c>
      <c r="J249" s="4">
        <v>0</v>
      </c>
      <c r="K249" s="4">
        <v>0</v>
      </c>
      <c r="L249" s="4">
        <v>0</v>
      </c>
      <c r="M249" s="4">
        <v>0.5</v>
      </c>
      <c r="N249" s="4">
        <v>0</v>
      </c>
      <c r="O249" s="4">
        <v>0</v>
      </c>
      <c r="P249" s="4">
        <v>0</v>
      </c>
      <c r="Q249" s="4">
        <v>0.5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</row>
    <row r="250" spans="1:38" x14ac:dyDescent="0.25">
      <c r="A250" s="4">
        <v>63</v>
      </c>
      <c r="B250" s="4" t="s">
        <v>552</v>
      </c>
      <c r="C250" s="4" t="s">
        <v>804</v>
      </c>
      <c r="D250" s="4" t="s">
        <v>320</v>
      </c>
      <c r="E250" s="4">
        <v>1</v>
      </c>
      <c r="F250" s="4">
        <v>3</v>
      </c>
      <c r="G250" s="4">
        <v>0</v>
      </c>
      <c r="H250" s="4">
        <v>0</v>
      </c>
      <c r="I250" s="4">
        <v>0</v>
      </c>
      <c r="J250" s="4">
        <v>0.5</v>
      </c>
      <c r="K250" s="4">
        <v>0</v>
      </c>
      <c r="L250" s="4">
        <v>0</v>
      </c>
      <c r="M250" s="4">
        <v>0</v>
      </c>
      <c r="N250" s="4">
        <v>0.5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</row>
    <row r="251" spans="1:38" x14ac:dyDescent="0.25">
      <c r="A251" s="4">
        <v>63</v>
      </c>
      <c r="B251" s="4" t="s">
        <v>554</v>
      </c>
      <c r="C251" s="4" t="s">
        <v>805</v>
      </c>
      <c r="D251" s="4" t="s">
        <v>320</v>
      </c>
      <c r="E251" s="4">
        <v>1</v>
      </c>
      <c r="F251" s="4">
        <v>0</v>
      </c>
      <c r="G251" s="4">
        <v>3</v>
      </c>
      <c r="H251" s="4">
        <v>0</v>
      </c>
      <c r="I251" s="4">
        <v>0</v>
      </c>
      <c r="J251" s="4">
        <v>0</v>
      </c>
      <c r="K251" s="4">
        <v>0.5</v>
      </c>
      <c r="L251" s="4">
        <v>0</v>
      </c>
      <c r="M251" s="4">
        <v>0</v>
      </c>
      <c r="N251" s="4">
        <v>0</v>
      </c>
      <c r="O251" s="4">
        <v>0.5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</row>
    <row r="252" spans="1:38" x14ac:dyDescent="0.25">
      <c r="A252" s="4">
        <v>63</v>
      </c>
      <c r="B252" s="4" t="s">
        <v>556</v>
      </c>
      <c r="C252" s="4" t="s">
        <v>806</v>
      </c>
      <c r="D252" s="4" t="s">
        <v>320</v>
      </c>
      <c r="E252" s="4">
        <v>1</v>
      </c>
      <c r="F252" s="4">
        <v>0</v>
      </c>
      <c r="G252" s="4">
        <v>0</v>
      </c>
      <c r="H252" s="4">
        <v>3</v>
      </c>
      <c r="I252" s="4">
        <v>0</v>
      </c>
      <c r="J252" s="4">
        <v>0</v>
      </c>
      <c r="K252" s="4">
        <v>0</v>
      </c>
      <c r="L252" s="4">
        <v>0.5</v>
      </c>
      <c r="M252" s="4">
        <v>0</v>
      </c>
      <c r="N252" s="4">
        <v>0</v>
      </c>
      <c r="O252" s="4">
        <v>0</v>
      </c>
      <c r="P252" s="4">
        <v>0.5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</row>
    <row r="253" spans="1:38" x14ac:dyDescent="0.25">
      <c r="A253" s="4">
        <v>63</v>
      </c>
      <c r="B253" s="4" t="s">
        <v>558</v>
      </c>
      <c r="C253" s="4" t="s">
        <v>807</v>
      </c>
      <c r="D253" s="4" t="s">
        <v>320</v>
      </c>
      <c r="E253" s="4">
        <v>1</v>
      </c>
      <c r="F253" s="4">
        <v>0</v>
      </c>
      <c r="G253" s="4">
        <v>0</v>
      </c>
      <c r="H253" s="4">
        <v>0</v>
      </c>
      <c r="I253" s="4">
        <v>3</v>
      </c>
      <c r="J253" s="4">
        <v>0</v>
      </c>
      <c r="K253" s="4">
        <v>0</v>
      </c>
      <c r="L253" s="4">
        <v>0</v>
      </c>
      <c r="M253" s="4">
        <v>0.5</v>
      </c>
      <c r="N253" s="4">
        <v>0</v>
      </c>
      <c r="O253" s="4">
        <v>0</v>
      </c>
      <c r="P253" s="4">
        <v>0</v>
      </c>
      <c r="Q253" s="4">
        <v>0.5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</row>
    <row r="254" spans="1:38" ht="30" x14ac:dyDescent="0.25">
      <c r="A254" s="4">
        <v>64</v>
      </c>
      <c r="B254" s="4" t="s">
        <v>552</v>
      </c>
      <c r="C254" s="4" t="s">
        <v>808</v>
      </c>
      <c r="D254" s="4" t="s">
        <v>325</v>
      </c>
      <c r="E254" s="4">
        <v>0</v>
      </c>
      <c r="F254" s="4">
        <v>3</v>
      </c>
      <c r="G254" s="4">
        <v>0</v>
      </c>
      <c r="H254" s="4">
        <v>0</v>
      </c>
      <c r="I254" s="4">
        <v>0</v>
      </c>
      <c r="J254" s="4">
        <v>0.5</v>
      </c>
      <c r="K254" s="4">
        <v>0</v>
      </c>
      <c r="L254" s="4">
        <v>0</v>
      </c>
      <c r="M254" s="4">
        <v>0</v>
      </c>
      <c r="N254" s="4">
        <v>0.5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</row>
    <row r="255" spans="1:38" ht="30" x14ac:dyDescent="0.25">
      <c r="A255" s="4">
        <v>64</v>
      </c>
      <c r="B255" s="4" t="s">
        <v>554</v>
      </c>
      <c r="C255" s="4" t="s">
        <v>809</v>
      </c>
      <c r="D255" s="4" t="s">
        <v>325</v>
      </c>
      <c r="E255" s="4">
        <v>0</v>
      </c>
      <c r="F255" s="4">
        <v>0</v>
      </c>
      <c r="G255" s="4">
        <v>3</v>
      </c>
      <c r="H255" s="4">
        <v>0</v>
      </c>
      <c r="I255" s="4">
        <v>0</v>
      </c>
      <c r="J255" s="4">
        <v>0</v>
      </c>
      <c r="K255" s="4">
        <v>0.5</v>
      </c>
      <c r="L255" s="4">
        <v>0</v>
      </c>
      <c r="M255" s="4">
        <v>0</v>
      </c>
      <c r="N255" s="4">
        <v>0</v>
      </c>
      <c r="O255" s="4">
        <v>0.5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</row>
    <row r="256" spans="1:38" ht="30" x14ac:dyDescent="0.25">
      <c r="A256" s="4">
        <v>64</v>
      </c>
      <c r="B256" s="4" t="s">
        <v>556</v>
      </c>
      <c r="C256" s="4" t="s">
        <v>810</v>
      </c>
      <c r="D256" s="4" t="s">
        <v>325</v>
      </c>
      <c r="E256" s="4">
        <v>0</v>
      </c>
      <c r="F256" s="4">
        <v>0</v>
      </c>
      <c r="G256" s="4">
        <v>0</v>
      </c>
      <c r="H256" s="4">
        <v>3</v>
      </c>
      <c r="I256" s="4">
        <v>0</v>
      </c>
      <c r="J256" s="4">
        <v>0</v>
      </c>
      <c r="K256" s="4">
        <v>0</v>
      </c>
      <c r="L256" s="4">
        <v>0.5</v>
      </c>
      <c r="M256" s="4">
        <v>0</v>
      </c>
      <c r="N256" s="4">
        <v>0</v>
      </c>
      <c r="O256" s="4">
        <v>0</v>
      </c>
      <c r="P256" s="4">
        <v>0.5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</row>
    <row r="257" spans="1:38" ht="30" x14ac:dyDescent="0.25">
      <c r="A257" s="4">
        <v>64</v>
      </c>
      <c r="B257" s="4" t="s">
        <v>558</v>
      </c>
      <c r="C257" s="4" t="s">
        <v>811</v>
      </c>
      <c r="D257" s="4" t="s">
        <v>325</v>
      </c>
      <c r="E257" s="4">
        <v>0</v>
      </c>
      <c r="F257" s="4">
        <v>0</v>
      </c>
      <c r="G257" s="4">
        <v>0</v>
      </c>
      <c r="H257" s="4">
        <v>0</v>
      </c>
      <c r="I257" s="4">
        <v>3</v>
      </c>
      <c r="J257" s="4">
        <v>0</v>
      </c>
      <c r="K257" s="4">
        <v>0</v>
      </c>
      <c r="L257" s="4">
        <v>0</v>
      </c>
      <c r="M257" s="4">
        <v>0.5</v>
      </c>
      <c r="N257" s="4">
        <v>0</v>
      </c>
      <c r="O257" s="4">
        <v>0</v>
      </c>
      <c r="P257" s="4">
        <v>0</v>
      </c>
      <c r="Q257" s="4">
        <v>0.5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</row>
    <row r="258" spans="1:38" ht="30" x14ac:dyDescent="0.25">
      <c r="A258" s="4">
        <v>65</v>
      </c>
      <c r="B258" s="4" t="s">
        <v>552</v>
      </c>
      <c r="C258" s="4" t="s">
        <v>812</v>
      </c>
      <c r="D258" s="4" t="s">
        <v>330</v>
      </c>
      <c r="E258" s="4">
        <v>0</v>
      </c>
      <c r="F258" s="4">
        <v>3</v>
      </c>
      <c r="G258" s="4">
        <v>0</v>
      </c>
      <c r="H258" s="4">
        <v>0</v>
      </c>
      <c r="I258" s="4">
        <v>0</v>
      </c>
      <c r="J258" s="4">
        <v>0.5</v>
      </c>
      <c r="K258" s="4">
        <v>0</v>
      </c>
      <c r="L258" s="4">
        <v>0</v>
      </c>
      <c r="M258" s="4">
        <v>0</v>
      </c>
      <c r="N258" s="4">
        <v>0.5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</row>
    <row r="259" spans="1:38" ht="30" x14ac:dyDescent="0.25">
      <c r="A259" s="4">
        <v>65</v>
      </c>
      <c r="B259" s="4" t="s">
        <v>554</v>
      </c>
      <c r="C259" s="4" t="s">
        <v>813</v>
      </c>
      <c r="D259" s="4" t="s">
        <v>330</v>
      </c>
      <c r="E259" s="4">
        <v>0</v>
      </c>
      <c r="F259" s="4">
        <v>0</v>
      </c>
      <c r="G259" s="4">
        <v>3</v>
      </c>
      <c r="H259" s="4">
        <v>0</v>
      </c>
      <c r="I259" s="4">
        <v>0</v>
      </c>
      <c r="J259" s="4">
        <v>0</v>
      </c>
      <c r="K259" s="4">
        <v>0.5</v>
      </c>
      <c r="L259" s="4">
        <v>0</v>
      </c>
      <c r="M259" s="4">
        <v>0</v>
      </c>
      <c r="N259" s="4">
        <v>0</v>
      </c>
      <c r="O259" s="4">
        <v>0.5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</row>
    <row r="260" spans="1:38" ht="30" x14ac:dyDescent="0.25">
      <c r="A260" s="4">
        <v>65</v>
      </c>
      <c r="B260" s="4" t="s">
        <v>556</v>
      </c>
      <c r="C260" s="4" t="s">
        <v>814</v>
      </c>
      <c r="D260" s="4" t="s">
        <v>330</v>
      </c>
      <c r="E260" s="4">
        <v>0</v>
      </c>
      <c r="F260" s="4">
        <v>0</v>
      </c>
      <c r="G260" s="4">
        <v>0</v>
      </c>
      <c r="H260" s="4">
        <v>3</v>
      </c>
      <c r="I260" s="4">
        <v>0</v>
      </c>
      <c r="J260" s="4">
        <v>0</v>
      </c>
      <c r="K260" s="4">
        <v>0</v>
      </c>
      <c r="L260" s="4">
        <v>0.5</v>
      </c>
      <c r="M260" s="4">
        <v>0</v>
      </c>
      <c r="N260" s="4">
        <v>0</v>
      </c>
      <c r="O260" s="4">
        <v>0</v>
      </c>
      <c r="P260" s="4">
        <v>0.5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</row>
    <row r="261" spans="1:38" ht="30" x14ac:dyDescent="0.25">
      <c r="A261" s="4">
        <v>65</v>
      </c>
      <c r="B261" s="4" t="s">
        <v>558</v>
      </c>
      <c r="C261" s="4" t="s">
        <v>815</v>
      </c>
      <c r="D261" s="4" t="s">
        <v>330</v>
      </c>
      <c r="E261" s="4">
        <v>0</v>
      </c>
      <c r="F261" s="4">
        <v>0</v>
      </c>
      <c r="G261" s="4">
        <v>0</v>
      </c>
      <c r="H261" s="4">
        <v>0</v>
      </c>
      <c r="I261" s="4">
        <v>3</v>
      </c>
      <c r="J261" s="4">
        <v>0</v>
      </c>
      <c r="K261" s="4">
        <v>0</v>
      </c>
      <c r="L261" s="4">
        <v>0</v>
      </c>
      <c r="M261" s="4">
        <v>0.5</v>
      </c>
      <c r="N261" s="4">
        <v>0</v>
      </c>
      <c r="O261" s="4">
        <v>0</v>
      </c>
      <c r="P261" s="4">
        <v>0</v>
      </c>
      <c r="Q261" s="4">
        <v>0.5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</row>
    <row r="262" spans="1:38" ht="30" x14ac:dyDescent="0.25">
      <c r="A262" s="4">
        <v>66</v>
      </c>
      <c r="B262" s="4" t="s">
        <v>552</v>
      </c>
      <c r="C262" s="4" t="s">
        <v>816</v>
      </c>
      <c r="D262" s="4" t="s">
        <v>335</v>
      </c>
      <c r="E262" s="4">
        <v>0</v>
      </c>
      <c r="F262" s="4">
        <v>3</v>
      </c>
      <c r="G262" s="4">
        <v>0</v>
      </c>
      <c r="H262" s="4">
        <v>0</v>
      </c>
      <c r="I262" s="4">
        <v>0</v>
      </c>
      <c r="J262" s="4">
        <v>0.5</v>
      </c>
      <c r="K262" s="4">
        <v>0</v>
      </c>
      <c r="L262" s="4">
        <v>0</v>
      </c>
      <c r="M262" s="4">
        <v>0</v>
      </c>
      <c r="N262" s="4">
        <v>0.5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</row>
    <row r="263" spans="1:38" ht="30" x14ac:dyDescent="0.25">
      <c r="A263" s="4">
        <v>66</v>
      </c>
      <c r="B263" s="4" t="s">
        <v>554</v>
      </c>
      <c r="C263" s="4" t="s">
        <v>817</v>
      </c>
      <c r="D263" s="4" t="s">
        <v>335</v>
      </c>
      <c r="E263" s="4">
        <v>0</v>
      </c>
      <c r="F263" s="4">
        <v>0</v>
      </c>
      <c r="G263" s="4">
        <v>3</v>
      </c>
      <c r="H263" s="4">
        <v>0</v>
      </c>
      <c r="I263" s="4">
        <v>0</v>
      </c>
      <c r="J263" s="4">
        <v>0</v>
      </c>
      <c r="K263" s="4">
        <v>0.5</v>
      </c>
      <c r="L263" s="4">
        <v>0</v>
      </c>
      <c r="M263" s="4">
        <v>0</v>
      </c>
      <c r="N263" s="4">
        <v>0</v>
      </c>
      <c r="O263" s="4">
        <v>0.5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</row>
    <row r="264" spans="1:38" ht="30" x14ac:dyDescent="0.25">
      <c r="A264" s="4">
        <v>66</v>
      </c>
      <c r="B264" s="4" t="s">
        <v>556</v>
      </c>
      <c r="C264" s="4" t="s">
        <v>818</v>
      </c>
      <c r="D264" s="4" t="s">
        <v>335</v>
      </c>
      <c r="E264" s="4">
        <v>0</v>
      </c>
      <c r="F264" s="4">
        <v>0</v>
      </c>
      <c r="G264" s="4">
        <v>0</v>
      </c>
      <c r="H264" s="4">
        <v>3</v>
      </c>
      <c r="I264" s="4">
        <v>0</v>
      </c>
      <c r="J264" s="4">
        <v>0</v>
      </c>
      <c r="K264" s="4">
        <v>0</v>
      </c>
      <c r="L264" s="4">
        <v>0.5</v>
      </c>
      <c r="M264" s="4">
        <v>0</v>
      </c>
      <c r="N264" s="4">
        <v>0</v>
      </c>
      <c r="O264" s="4">
        <v>0</v>
      </c>
      <c r="P264" s="4">
        <v>0.5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</row>
    <row r="265" spans="1:38" ht="30" x14ac:dyDescent="0.25">
      <c r="A265" s="4">
        <v>66</v>
      </c>
      <c r="B265" s="4" t="s">
        <v>558</v>
      </c>
      <c r="C265" s="4" t="s">
        <v>819</v>
      </c>
      <c r="D265" s="4" t="s">
        <v>335</v>
      </c>
      <c r="E265" s="4">
        <v>0</v>
      </c>
      <c r="F265" s="4">
        <v>0</v>
      </c>
      <c r="G265" s="4">
        <v>0</v>
      </c>
      <c r="H265" s="4">
        <v>0</v>
      </c>
      <c r="I265" s="4">
        <v>3</v>
      </c>
      <c r="J265" s="4">
        <v>0</v>
      </c>
      <c r="K265" s="4">
        <v>0</v>
      </c>
      <c r="L265" s="4">
        <v>0</v>
      </c>
      <c r="M265" s="4">
        <v>0.5</v>
      </c>
      <c r="N265" s="4">
        <v>0</v>
      </c>
      <c r="O265" s="4">
        <v>0</v>
      </c>
      <c r="P265" s="4">
        <v>0</v>
      </c>
      <c r="Q265" s="4">
        <v>0.5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</row>
    <row r="266" spans="1:38" x14ac:dyDescent="0.25">
      <c r="A266" s="4">
        <v>67</v>
      </c>
      <c r="B266" s="4" t="s">
        <v>552</v>
      </c>
      <c r="C266" s="4" t="s">
        <v>820</v>
      </c>
      <c r="D266" s="4" t="s">
        <v>340</v>
      </c>
      <c r="E266" s="4">
        <v>1</v>
      </c>
      <c r="F266" s="4">
        <v>3</v>
      </c>
      <c r="G266" s="4">
        <v>0</v>
      </c>
      <c r="H266" s="4">
        <v>0</v>
      </c>
      <c r="I266" s="4">
        <v>0</v>
      </c>
      <c r="J266" s="4">
        <v>0.5</v>
      </c>
      <c r="K266" s="4">
        <v>0</v>
      </c>
      <c r="L266" s="4">
        <v>0</v>
      </c>
      <c r="M266" s="4">
        <v>0</v>
      </c>
      <c r="N266" s="4">
        <v>0.5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</row>
    <row r="267" spans="1:38" x14ac:dyDescent="0.25">
      <c r="A267" s="4">
        <v>67</v>
      </c>
      <c r="B267" s="4" t="s">
        <v>554</v>
      </c>
      <c r="C267" s="4" t="s">
        <v>821</v>
      </c>
      <c r="D267" s="4" t="s">
        <v>340</v>
      </c>
      <c r="E267" s="4">
        <v>1</v>
      </c>
      <c r="F267" s="4">
        <v>0</v>
      </c>
      <c r="G267" s="4">
        <v>3</v>
      </c>
      <c r="H267" s="4">
        <v>0</v>
      </c>
      <c r="I267" s="4">
        <v>0</v>
      </c>
      <c r="J267" s="4">
        <v>0</v>
      </c>
      <c r="K267" s="4">
        <v>0.5</v>
      </c>
      <c r="L267" s="4">
        <v>0</v>
      </c>
      <c r="M267" s="4">
        <v>0</v>
      </c>
      <c r="N267" s="4">
        <v>0</v>
      </c>
      <c r="O267" s="4">
        <v>0.5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</row>
    <row r="268" spans="1:38" x14ac:dyDescent="0.25">
      <c r="A268" s="4">
        <v>67</v>
      </c>
      <c r="B268" s="4" t="s">
        <v>556</v>
      </c>
      <c r="C268" s="4" t="s">
        <v>822</v>
      </c>
      <c r="D268" s="4" t="s">
        <v>340</v>
      </c>
      <c r="E268" s="4">
        <v>1</v>
      </c>
      <c r="F268" s="4">
        <v>0</v>
      </c>
      <c r="G268" s="4">
        <v>0</v>
      </c>
      <c r="H268" s="4">
        <v>3</v>
      </c>
      <c r="I268" s="4">
        <v>0</v>
      </c>
      <c r="J268" s="4">
        <v>0</v>
      </c>
      <c r="K268" s="4">
        <v>0</v>
      </c>
      <c r="L268" s="4">
        <v>0.5</v>
      </c>
      <c r="M268" s="4">
        <v>0</v>
      </c>
      <c r="N268" s="4">
        <v>0</v>
      </c>
      <c r="O268" s="4">
        <v>0</v>
      </c>
      <c r="P268" s="4">
        <v>0.5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</row>
    <row r="269" spans="1:38" x14ac:dyDescent="0.25">
      <c r="A269" s="4">
        <v>67</v>
      </c>
      <c r="B269" s="4" t="s">
        <v>558</v>
      </c>
      <c r="C269" s="4" t="s">
        <v>823</v>
      </c>
      <c r="D269" s="4" t="s">
        <v>340</v>
      </c>
      <c r="E269" s="4">
        <v>1</v>
      </c>
      <c r="F269" s="4">
        <v>0</v>
      </c>
      <c r="G269" s="4">
        <v>0</v>
      </c>
      <c r="H269" s="4">
        <v>0</v>
      </c>
      <c r="I269" s="4">
        <v>3</v>
      </c>
      <c r="J269" s="4">
        <v>0</v>
      </c>
      <c r="K269" s="4">
        <v>0</v>
      </c>
      <c r="L269" s="4">
        <v>0</v>
      </c>
      <c r="M269" s="4">
        <v>0.5</v>
      </c>
      <c r="N269" s="4">
        <v>0</v>
      </c>
      <c r="O269" s="4">
        <v>0</v>
      </c>
      <c r="P269" s="4">
        <v>0</v>
      </c>
      <c r="Q269" s="4">
        <v>0.5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</row>
    <row r="270" spans="1:38" x14ac:dyDescent="0.25">
      <c r="A270" s="4">
        <v>68</v>
      </c>
      <c r="B270" s="4" t="s">
        <v>552</v>
      </c>
      <c r="C270" s="4" t="s">
        <v>824</v>
      </c>
      <c r="D270" s="4" t="s">
        <v>345</v>
      </c>
      <c r="E270" s="4">
        <v>0</v>
      </c>
      <c r="F270" s="4">
        <v>3</v>
      </c>
      <c r="G270" s="4">
        <v>0</v>
      </c>
      <c r="H270" s="4">
        <v>0</v>
      </c>
      <c r="I270" s="4">
        <v>0</v>
      </c>
      <c r="J270" s="4">
        <v>0.5</v>
      </c>
      <c r="K270" s="4">
        <v>0</v>
      </c>
      <c r="L270" s="4">
        <v>0</v>
      </c>
      <c r="M270" s="4">
        <v>0</v>
      </c>
      <c r="N270" s="4">
        <v>0.5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</row>
    <row r="271" spans="1:38" x14ac:dyDescent="0.25">
      <c r="A271" s="4">
        <v>68</v>
      </c>
      <c r="B271" s="4" t="s">
        <v>554</v>
      </c>
      <c r="C271" s="4" t="s">
        <v>825</v>
      </c>
      <c r="D271" s="4" t="s">
        <v>345</v>
      </c>
      <c r="E271" s="4">
        <v>0</v>
      </c>
      <c r="F271" s="4">
        <v>0</v>
      </c>
      <c r="G271" s="4">
        <v>3</v>
      </c>
      <c r="H271" s="4">
        <v>0</v>
      </c>
      <c r="I271" s="4">
        <v>0</v>
      </c>
      <c r="J271" s="4">
        <v>0</v>
      </c>
      <c r="K271" s="4">
        <v>0.5</v>
      </c>
      <c r="L271" s="4">
        <v>0</v>
      </c>
      <c r="M271" s="4">
        <v>0</v>
      </c>
      <c r="N271" s="4">
        <v>0</v>
      </c>
      <c r="O271" s="4">
        <v>0.5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</row>
    <row r="272" spans="1:38" x14ac:dyDescent="0.25">
      <c r="A272" s="4">
        <v>68</v>
      </c>
      <c r="B272" s="4" t="s">
        <v>556</v>
      </c>
      <c r="C272" s="4" t="s">
        <v>826</v>
      </c>
      <c r="D272" s="4" t="s">
        <v>345</v>
      </c>
      <c r="E272" s="4">
        <v>0</v>
      </c>
      <c r="F272" s="4">
        <v>0</v>
      </c>
      <c r="G272" s="4">
        <v>0</v>
      </c>
      <c r="H272" s="4">
        <v>3</v>
      </c>
      <c r="I272" s="4">
        <v>0</v>
      </c>
      <c r="J272" s="4">
        <v>0</v>
      </c>
      <c r="K272" s="4">
        <v>0</v>
      </c>
      <c r="L272" s="4">
        <v>0.5</v>
      </c>
      <c r="M272" s="4">
        <v>0</v>
      </c>
      <c r="N272" s="4">
        <v>0</v>
      </c>
      <c r="O272" s="4">
        <v>0</v>
      </c>
      <c r="P272" s="4">
        <v>0.5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</row>
    <row r="273" spans="1:38" x14ac:dyDescent="0.25">
      <c r="A273" s="4">
        <v>68</v>
      </c>
      <c r="B273" s="4" t="s">
        <v>558</v>
      </c>
      <c r="C273" s="4" t="s">
        <v>827</v>
      </c>
      <c r="D273" s="4" t="s">
        <v>345</v>
      </c>
      <c r="E273" s="4">
        <v>0</v>
      </c>
      <c r="F273" s="4">
        <v>0</v>
      </c>
      <c r="G273" s="4">
        <v>0</v>
      </c>
      <c r="H273" s="4">
        <v>0</v>
      </c>
      <c r="I273" s="4">
        <v>3</v>
      </c>
      <c r="J273" s="4">
        <v>0</v>
      </c>
      <c r="K273" s="4">
        <v>0</v>
      </c>
      <c r="L273" s="4">
        <v>0</v>
      </c>
      <c r="M273" s="4">
        <v>0.5</v>
      </c>
      <c r="N273" s="4">
        <v>0</v>
      </c>
      <c r="O273" s="4">
        <v>0</v>
      </c>
      <c r="P273" s="4">
        <v>0</v>
      </c>
      <c r="Q273" s="4">
        <v>0.5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</row>
    <row r="274" spans="1:38" x14ac:dyDescent="0.25">
      <c r="A274" s="4">
        <v>69</v>
      </c>
      <c r="B274" s="4" t="s">
        <v>552</v>
      </c>
      <c r="C274" s="4" t="s">
        <v>828</v>
      </c>
      <c r="D274" s="4" t="s">
        <v>349</v>
      </c>
      <c r="E274" s="4">
        <v>0</v>
      </c>
      <c r="F274" s="4">
        <v>3</v>
      </c>
      <c r="G274" s="4">
        <v>0</v>
      </c>
      <c r="H274" s="4">
        <v>0</v>
      </c>
      <c r="I274" s="4">
        <v>0</v>
      </c>
      <c r="J274" s="4">
        <v>0.5</v>
      </c>
      <c r="K274" s="4">
        <v>0</v>
      </c>
      <c r="L274" s="4">
        <v>0</v>
      </c>
      <c r="M274" s="4">
        <v>0</v>
      </c>
      <c r="N274" s="4">
        <v>0.5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</row>
    <row r="275" spans="1:38" x14ac:dyDescent="0.25">
      <c r="A275" s="4">
        <v>69</v>
      </c>
      <c r="B275" s="4" t="s">
        <v>554</v>
      </c>
      <c r="C275" s="4" t="s">
        <v>829</v>
      </c>
      <c r="D275" s="4" t="s">
        <v>349</v>
      </c>
      <c r="E275" s="4">
        <v>0</v>
      </c>
      <c r="F275" s="4">
        <v>0</v>
      </c>
      <c r="G275" s="4">
        <v>3</v>
      </c>
      <c r="H275" s="4">
        <v>0</v>
      </c>
      <c r="I275" s="4">
        <v>0</v>
      </c>
      <c r="J275" s="4">
        <v>0</v>
      </c>
      <c r="K275" s="4">
        <v>0.5</v>
      </c>
      <c r="L275" s="4">
        <v>0</v>
      </c>
      <c r="M275" s="4">
        <v>0</v>
      </c>
      <c r="N275" s="4">
        <v>0</v>
      </c>
      <c r="O275" s="4">
        <v>0.5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</row>
    <row r="276" spans="1:38" x14ac:dyDescent="0.25">
      <c r="A276" s="4">
        <v>69</v>
      </c>
      <c r="B276" s="4" t="s">
        <v>556</v>
      </c>
      <c r="C276" s="4" t="s">
        <v>830</v>
      </c>
      <c r="D276" s="4" t="s">
        <v>349</v>
      </c>
      <c r="E276" s="4">
        <v>0</v>
      </c>
      <c r="F276" s="4">
        <v>0</v>
      </c>
      <c r="G276" s="4">
        <v>0</v>
      </c>
      <c r="H276" s="4">
        <v>3</v>
      </c>
      <c r="I276" s="4">
        <v>0</v>
      </c>
      <c r="J276" s="4">
        <v>0</v>
      </c>
      <c r="K276" s="4">
        <v>0</v>
      </c>
      <c r="L276" s="4">
        <v>0.5</v>
      </c>
      <c r="M276" s="4">
        <v>0</v>
      </c>
      <c r="N276" s="4">
        <v>0</v>
      </c>
      <c r="O276" s="4">
        <v>0</v>
      </c>
      <c r="P276" s="4">
        <v>0.5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</row>
    <row r="277" spans="1:38" x14ac:dyDescent="0.25">
      <c r="A277" s="4">
        <v>69</v>
      </c>
      <c r="B277" s="4" t="s">
        <v>558</v>
      </c>
      <c r="C277" s="4" t="s">
        <v>831</v>
      </c>
      <c r="D277" s="4" t="s">
        <v>349</v>
      </c>
      <c r="E277" s="4">
        <v>0</v>
      </c>
      <c r="F277" s="4">
        <v>0</v>
      </c>
      <c r="G277" s="4">
        <v>0</v>
      </c>
      <c r="H277" s="4">
        <v>0</v>
      </c>
      <c r="I277" s="4">
        <v>3</v>
      </c>
      <c r="J277" s="4">
        <v>0</v>
      </c>
      <c r="K277" s="4">
        <v>0</v>
      </c>
      <c r="L277" s="4">
        <v>0</v>
      </c>
      <c r="M277" s="4">
        <v>0.5</v>
      </c>
      <c r="N277" s="4">
        <v>0</v>
      </c>
      <c r="O277" s="4">
        <v>0</v>
      </c>
      <c r="P277" s="4">
        <v>0</v>
      </c>
      <c r="Q277" s="4">
        <v>0.5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</row>
    <row r="278" spans="1:38" ht="30" x14ac:dyDescent="0.25">
      <c r="A278" s="4">
        <v>70</v>
      </c>
      <c r="B278" s="4" t="s">
        <v>552</v>
      </c>
      <c r="C278" s="4" t="s">
        <v>832</v>
      </c>
      <c r="D278" s="4" t="s">
        <v>354</v>
      </c>
      <c r="E278" s="4">
        <v>0</v>
      </c>
      <c r="F278" s="4">
        <v>3</v>
      </c>
      <c r="G278" s="4">
        <v>0</v>
      </c>
      <c r="H278" s="4">
        <v>0</v>
      </c>
      <c r="I278" s="4">
        <v>0</v>
      </c>
      <c r="J278" s="4">
        <v>0.5</v>
      </c>
      <c r="K278" s="4">
        <v>0</v>
      </c>
      <c r="L278" s="4">
        <v>0</v>
      </c>
      <c r="M278" s="4">
        <v>0</v>
      </c>
      <c r="N278" s="4">
        <v>0.5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</row>
    <row r="279" spans="1:38" ht="30" x14ac:dyDescent="0.25">
      <c r="A279" s="4">
        <v>70</v>
      </c>
      <c r="B279" s="4" t="s">
        <v>554</v>
      </c>
      <c r="C279" s="4" t="s">
        <v>833</v>
      </c>
      <c r="D279" s="4" t="s">
        <v>354</v>
      </c>
      <c r="E279" s="4">
        <v>0</v>
      </c>
      <c r="F279" s="4">
        <v>0</v>
      </c>
      <c r="G279" s="4">
        <v>3</v>
      </c>
      <c r="H279" s="4">
        <v>0</v>
      </c>
      <c r="I279" s="4">
        <v>0</v>
      </c>
      <c r="J279" s="4">
        <v>0</v>
      </c>
      <c r="K279" s="4">
        <v>0.5</v>
      </c>
      <c r="L279" s="4">
        <v>0</v>
      </c>
      <c r="M279" s="4">
        <v>0</v>
      </c>
      <c r="N279" s="4">
        <v>0</v>
      </c>
      <c r="O279" s="4">
        <v>0.5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</row>
    <row r="280" spans="1:38" ht="30" x14ac:dyDescent="0.25">
      <c r="A280" s="4">
        <v>70</v>
      </c>
      <c r="B280" s="4" t="s">
        <v>556</v>
      </c>
      <c r="C280" s="4" t="s">
        <v>834</v>
      </c>
      <c r="D280" s="4" t="s">
        <v>354</v>
      </c>
      <c r="E280" s="4">
        <v>0</v>
      </c>
      <c r="F280" s="4">
        <v>0</v>
      </c>
      <c r="G280" s="4">
        <v>0</v>
      </c>
      <c r="H280" s="4">
        <v>3</v>
      </c>
      <c r="I280" s="4">
        <v>0</v>
      </c>
      <c r="J280" s="4">
        <v>0</v>
      </c>
      <c r="K280" s="4">
        <v>0</v>
      </c>
      <c r="L280" s="4">
        <v>0.5</v>
      </c>
      <c r="M280" s="4">
        <v>0</v>
      </c>
      <c r="N280" s="4">
        <v>0</v>
      </c>
      <c r="O280" s="4">
        <v>0</v>
      </c>
      <c r="P280" s="4">
        <v>0.5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</row>
    <row r="281" spans="1:38" ht="30" x14ac:dyDescent="0.25">
      <c r="A281" s="4">
        <v>70</v>
      </c>
      <c r="B281" s="4" t="s">
        <v>558</v>
      </c>
      <c r="C281" s="4" t="s">
        <v>835</v>
      </c>
      <c r="D281" s="4" t="s">
        <v>354</v>
      </c>
      <c r="E281" s="4">
        <v>0</v>
      </c>
      <c r="F281" s="4">
        <v>0</v>
      </c>
      <c r="G281" s="4">
        <v>0</v>
      </c>
      <c r="H281" s="4">
        <v>0</v>
      </c>
      <c r="I281" s="4">
        <v>3</v>
      </c>
      <c r="J281" s="4">
        <v>0</v>
      </c>
      <c r="K281" s="4">
        <v>0</v>
      </c>
      <c r="L281" s="4">
        <v>0</v>
      </c>
      <c r="M281" s="4">
        <v>0.5</v>
      </c>
      <c r="N281" s="4">
        <v>0</v>
      </c>
      <c r="O281" s="4">
        <v>0</v>
      </c>
      <c r="P281" s="4">
        <v>0</v>
      </c>
      <c r="Q281" s="4">
        <v>0.5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</row>
    <row r="282" spans="1:38" x14ac:dyDescent="0.25">
      <c r="A282" s="4">
        <v>71</v>
      </c>
      <c r="B282" s="4" t="s">
        <v>552</v>
      </c>
      <c r="C282" s="4" t="s">
        <v>836</v>
      </c>
      <c r="D282" s="4" t="s">
        <v>359</v>
      </c>
      <c r="E282" s="4">
        <v>0</v>
      </c>
      <c r="F282" s="4">
        <v>3</v>
      </c>
      <c r="G282" s="4">
        <v>0</v>
      </c>
      <c r="H282" s="4">
        <v>0</v>
      </c>
      <c r="I282" s="4">
        <v>0</v>
      </c>
      <c r="J282" s="4">
        <v>0.5</v>
      </c>
      <c r="K282" s="4">
        <v>0</v>
      </c>
      <c r="L282" s="4">
        <v>0</v>
      </c>
      <c r="M282" s="4">
        <v>0</v>
      </c>
      <c r="N282" s="4">
        <v>0.5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</row>
    <row r="283" spans="1:38" x14ac:dyDescent="0.25">
      <c r="A283" s="4">
        <v>71</v>
      </c>
      <c r="B283" s="4" t="s">
        <v>554</v>
      </c>
      <c r="C283" s="4" t="s">
        <v>837</v>
      </c>
      <c r="D283" s="4" t="s">
        <v>359</v>
      </c>
      <c r="E283" s="4">
        <v>0</v>
      </c>
      <c r="F283" s="4">
        <v>0</v>
      </c>
      <c r="G283" s="4">
        <v>3</v>
      </c>
      <c r="H283" s="4">
        <v>0</v>
      </c>
      <c r="I283" s="4">
        <v>0</v>
      </c>
      <c r="J283" s="4">
        <v>0</v>
      </c>
      <c r="K283" s="4">
        <v>0.5</v>
      </c>
      <c r="L283" s="4">
        <v>0</v>
      </c>
      <c r="M283" s="4">
        <v>0</v>
      </c>
      <c r="N283" s="4">
        <v>0</v>
      </c>
      <c r="O283" s="4">
        <v>0.5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</row>
    <row r="284" spans="1:38" x14ac:dyDescent="0.25">
      <c r="A284" s="4">
        <v>71</v>
      </c>
      <c r="B284" s="4" t="s">
        <v>556</v>
      </c>
      <c r="C284" s="4" t="s">
        <v>838</v>
      </c>
      <c r="D284" s="4" t="s">
        <v>359</v>
      </c>
      <c r="E284" s="4">
        <v>0</v>
      </c>
      <c r="F284" s="4">
        <v>0</v>
      </c>
      <c r="G284" s="4">
        <v>0</v>
      </c>
      <c r="H284" s="4">
        <v>3</v>
      </c>
      <c r="I284" s="4">
        <v>0</v>
      </c>
      <c r="J284" s="4">
        <v>0</v>
      </c>
      <c r="K284" s="4">
        <v>0</v>
      </c>
      <c r="L284" s="4">
        <v>0.5</v>
      </c>
      <c r="M284" s="4">
        <v>0</v>
      </c>
      <c r="N284" s="4">
        <v>0</v>
      </c>
      <c r="O284" s="4">
        <v>0</v>
      </c>
      <c r="P284" s="4">
        <v>0.5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</row>
    <row r="285" spans="1:38" x14ac:dyDescent="0.25">
      <c r="A285" s="4">
        <v>71</v>
      </c>
      <c r="B285" s="4" t="s">
        <v>558</v>
      </c>
      <c r="C285" s="4" t="s">
        <v>839</v>
      </c>
      <c r="D285" s="4" t="s">
        <v>359</v>
      </c>
      <c r="E285" s="4">
        <v>0</v>
      </c>
      <c r="F285" s="4">
        <v>0</v>
      </c>
      <c r="G285" s="4">
        <v>0</v>
      </c>
      <c r="H285" s="4">
        <v>0</v>
      </c>
      <c r="I285" s="4">
        <v>3</v>
      </c>
      <c r="J285" s="4">
        <v>0</v>
      </c>
      <c r="K285" s="4">
        <v>0</v>
      </c>
      <c r="L285" s="4">
        <v>0</v>
      </c>
      <c r="M285" s="4">
        <v>0.5</v>
      </c>
      <c r="N285" s="4">
        <v>0</v>
      </c>
      <c r="O285" s="4">
        <v>0</v>
      </c>
      <c r="P285" s="4">
        <v>0</v>
      </c>
      <c r="Q285" s="4">
        <v>0.5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</row>
    <row r="286" spans="1:38" ht="30" x14ac:dyDescent="0.25">
      <c r="A286" s="4">
        <v>72</v>
      </c>
      <c r="B286" s="4" t="s">
        <v>552</v>
      </c>
      <c r="C286" s="4" t="s">
        <v>840</v>
      </c>
      <c r="D286" s="4" t="s">
        <v>364</v>
      </c>
      <c r="E286" s="4">
        <v>0</v>
      </c>
      <c r="F286" s="4">
        <v>3</v>
      </c>
      <c r="G286" s="4">
        <v>0</v>
      </c>
      <c r="H286" s="4">
        <v>0</v>
      </c>
      <c r="I286" s="4">
        <v>0</v>
      </c>
      <c r="J286" s="4">
        <v>0.5</v>
      </c>
      <c r="K286" s="4">
        <v>0</v>
      </c>
      <c r="L286" s="4">
        <v>0</v>
      </c>
      <c r="M286" s="4">
        <v>0</v>
      </c>
      <c r="N286" s="4">
        <v>0.5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</row>
    <row r="287" spans="1:38" ht="30" x14ac:dyDescent="0.25">
      <c r="A287" s="4">
        <v>72</v>
      </c>
      <c r="B287" s="4" t="s">
        <v>554</v>
      </c>
      <c r="C287" s="4" t="s">
        <v>841</v>
      </c>
      <c r="D287" s="4" t="s">
        <v>364</v>
      </c>
      <c r="E287" s="4">
        <v>0</v>
      </c>
      <c r="F287" s="4">
        <v>0</v>
      </c>
      <c r="G287" s="4">
        <v>3</v>
      </c>
      <c r="H287" s="4">
        <v>0</v>
      </c>
      <c r="I287" s="4">
        <v>0</v>
      </c>
      <c r="J287" s="4">
        <v>0</v>
      </c>
      <c r="K287" s="4">
        <v>0.5</v>
      </c>
      <c r="L287" s="4">
        <v>0</v>
      </c>
      <c r="M287" s="4">
        <v>0</v>
      </c>
      <c r="N287" s="4">
        <v>0</v>
      </c>
      <c r="O287" s="4">
        <v>0.5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</row>
    <row r="288" spans="1:38" ht="30" x14ac:dyDescent="0.25">
      <c r="A288" s="4">
        <v>72</v>
      </c>
      <c r="B288" s="4" t="s">
        <v>556</v>
      </c>
      <c r="C288" s="4" t="s">
        <v>842</v>
      </c>
      <c r="D288" s="4" t="s">
        <v>364</v>
      </c>
      <c r="E288" s="4">
        <v>0</v>
      </c>
      <c r="F288" s="4">
        <v>0</v>
      </c>
      <c r="G288" s="4">
        <v>0</v>
      </c>
      <c r="H288" s="4">
        <v>3</v>
      </c>
      <c r="I288" s="4">
        <v>0</v>
      </c>
      <c r="J288" s="4">
        <v>0</v>
      </c>
      <c r="K288" s="4">
        <v>0</v>
      </c>
      <c r="L288" s="4">
        <v>0.5</v>
      </c>
      <c r="M288" s="4">
        <v>0</v>
      </c>
      <c r="N288" s="4">
        <v>0</v>
      </c>
      <c r="O288" s="4">
        <v>0</v>
      </c>
      <c r="P288" s="4">
        <v>0.5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</row>
    <row r="289" spans="1:38" ht="30" x14ac:dyDescent="0.25">
      <c r="A289" s="4">
        <v>72</v>
      </c>
      <c r="B289" s="4" t="s">
        <v>558</v>
      </c>
      <c r="C289" s="4" t="s">
        <v>843</v>
      </c>
      <c r="D289" s="4" t="s">
        <v>364</v>
      </c>
      <c r="E289" s="4">
        <v>0</v>
      </c>
      <c r="F289" s="4">
        <v>0</v>
      </c>
      <c r="G289" s="4">
        <v>0</v>
      </c>
      <c r="H289" s="4">
        <v>0</v>
      </c>
      <c r="I289" s="4">
        <v>3</v>
      </c>
      <c r="J289" s="4">
        <v>0</v>
      </c>
      <c r="K289" s="4">
        <v>0</v>
      </c>
      <c r="L289" s="4">
        <v>0</v>
      </c>
      <c r="M289" s="4">
        <v>0.5</v>
      </c>
      <c r="N289" s="4">
        <v>0</v>
      </c>
      <c r="O289" s="4">
        <v>0</v>
      </c>
      <c r="P289" s="4">
        <v>0</v>
      </c>
      <c r="Q289" s="4">
        <v>0.5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</row>
    <row r="290" spans="1:38" x14ac:dyDescent="0.25">
      <c r="A290" s="4">
        <v>73</v>
      </c>
      <c r="B290" s="4" t="s">
        <v>552</v>
      </c>
      <c r="C290" s="4" t="s">
        <v>844</v>
      </c>
      <c r="D290" s="4" t="s">
        <v>369</v>
      </c>
      <c r="E290" s="4">
        <v>1</v>
      </c>
      <c r="F290" s="4">
        <v>3</v>
      </c>
      <c r="G290" s="4">
        <v>0</v>
      </c>
      <c r="H290" s="4">
        <v>0</v>
      </c>
      <c r="I290" s="4">
        <v>0</v>
      </c>
      <c r="J290" s="4">
        <v>0.5</v>
      </c>
      <c r="K290" s="4">
        <v>0</v>
      </c>
      <c r="L290" s="4">
        <v>0</v>
      </c>
      <c r="M290" s="4">
        <v>0</v>
      </c>
      <c r="N290" s="4">
        <v>0.5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</row>
    <row r="291" spans="1:38" x14ac:dyDescent="0.25">
      <c r="A291" s="4">
        <v>73</v>
      </c>
      <c r="B291" s="4" t="s">
        <v>554</v>
      </c>
      <c r="C291" s="4" t="s">
        <v>845</v>
      </c>
      <c r="D291" s="4" t="s">
        <v>369</v>
      </c>
      <c r="E291" s="4">
        <v>1</v>
      </c>
      <c r="F291" s="4">
        <v>0</v>
      </c>
      <c r="G291" s="4">
        <v>3</v>
      </c>
      <c r="H291" s="4">
        <v>0</v>
      </c>
      <c r="I291" s="4">
        <v>0</v>
      </c>
      <c r="J291" s="4">
        <v>0</v>
      </c>
      <c r="K291" s="4">
        <v>0.5</v>
      </c>
      <c r="L291" s="4">
        <v>0</v>
      </c>
      <c r="M291" s="4">
        <v>0</v>
      </c>
      <c r="N291" s="4">
        <v>0</v>
      </c>
      <c r="O291" s="4">
        <v>0.5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</row>
    <row r="292" spans="1:38" x14ac:dyDescent="0.25">
      <c r="A292" s="4">
        <v>73</v>
      </c>
      <c r="B292" s="4" t="s">
        <v>556</v>
      </c>
      <c r="C292" s="4" t="s">
        <v>846</v>
      </c>
      <c r="D292" s="4" t="s">
        <v>369</v>
      </c>
      <c r="E292" s="4">
        <v>1</v>
      </c>
      <c r="F292" s="4">
        <v>0</v>
      </c>
      <c r="G292" s="4">
        <v>0</v>
      </c>
      <c r="H292" s="4">
        <v>3</v>
      </c>
      <c r="I292" s="4">
        <v>0</v>
      </c>
      <c r="J292" s="4">
        <v>0</v>
      </c>
      <c r="K292" s="4">
        <v>0</v>
      </c>
      <c r="L292" s="4">
        <v>0.5</v>
      </c>
      <c r="M292" s="4">
        <v>0</v>
      </c>
      <c r="N292" s="4">
        <v>0</v>
      </c>
      <c r="O292" s="4">
        <v>0</v>
      </c>
      <c r="P292" s="4">
        <v>0.5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</row>
    <row r="293" spans="1:38" x14ac:dyDescent="0.25">
      <c r="A293" s="4">
        <v>73</v>
      </c>
      <c r="B293" s="4" t="s">
        <v>558</v>
      </c>
      <c r="C293" s="4" t="s">
        <v>847</v>
      </c>
      <c r="D293" s="4" t="s">
        <v>369</v>
      </c>
      <c r="E293" s="4">
        <v>1</v>
      </c>
      <c r="F293" s="4">
        <v>0</v>
      </c>
      <c r="G293" s="4">
        <v>0</v>
      </c>
      <c r="H293" s="4">
        <v>0</v>
      </c>
      <c r="I293" s="4">
        <v>3</v>
      </c>
      <c r="J293" s="4">
        <v>0</v>
      </c>
      <c r="K293" s="4">
        <v>0</v>
      </c>
      <c r="L293" s="4">
        <v>0</v>
      </c>
      <c r="M293" s="4">
        <v>0.5</v>
      </c>
      <c r="N293" s="4">
        <v>0</v>
      </c>
      <c r="O293" s="4">
        <v>0</v>
      </c>
      <c r="P293" s="4">
        <v>0</v>
      </c>
      <c r="Q293" s="4">
        <v>0.5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</row>
    <row r="294" spans="1:38" x14ac:dyDescent="0.25">
      <c r="A294" s="4">
        <v>74</v>
      </c>
      <c r="B294" s="4" t="s">
        <v>552</v>
      </c>
      <c r="C294" s="4" t="s">
        <v>848</v>
      </c>
      <c r="D294" s="4" t="s">
        <v>372</v>
      </c>
      <c r="E294" s="4">
        <v>0</v>
      </c>
      <c r="F294" s="4">
        <v>3</v>
      </c>
      <c r="G294" s="4">
        <v>0</v>
      </c>
      <c r="H294" s="4">
        <v>0</v>
      </c>
      <c r="I294" s="4">
        <v>0</v>
      </c>
      <c r="J294" s="4">
        <v>0.5</v>
      </c>
      <c r="K294" s="4">
        <v>0</v>
      </c>
      <c r="L294" s="4">
        <v>0</v>
      </c>
      <c r="M294" s="4">
        <v>0</v>
      </c>
      <c r="N294" s="4">
        <v>0.5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</row>
    <row r="295" spans="1:38" x14ac:dyDescent="0.25">
      <c r="A295" s="4">
        <v>74</v>
      </c>
      <c r="B295" s="4" t="s">
        <v>554</v>
      </c>
      <c r="C295" s="4" t="s">
        <v>849</v>
      </c>
      <c r="D295" s="4" t="s">
        <v>372</v>
      </c>
      <c r="E295" s="4">
        <v>0</v>
      </c>
      <c r="F295" s="4">
        <v>0</v>
      </c>
      <c r="G295" s="4">
        <v>3</v>
      </c>
      <c r="H295" s="4">
        <v>0</v>
      </c>
      <c r="I295" s="4">
        <v>0</v>
      </c>
      <c r="J295" s="4">
        <v>0</v>
      </c>
      <c r="K295" s="4">
        <v>0.5</v>
      </c>
      <c r="L295" s="4">
        <v>0</v>
      </c>
      <c r="M295" s="4">
        <v>0</v>
      </c>
      <c r="N295" s="4">
        <v>0</v>
      </c>
      <c r="O295" s="4">
        <v>0.5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</row>
    <row r="296" spans="1:38" x14ac:dyDescent="0.25">
      <c r="A296" s="4">
        <v>74</v>
      </c>
      <c r="B296" s="4" t="s">
        <v>556</v>
      </c>
      <c r="C296" s="4" t="s">
        <v>850</v>
      </c>
      <c r="D296" s="4" t="s">
        <v>372</v>
      </c>
      <c r="E296" s="4">
        <v>0</v>
      </c>
      <c r="F296" s="4">
        <v>0</v>
      </c>
      <c r="G296" s="4">
        <v>0</v>
      </c>
      <c r="H296" s="4">
        <v>3</v>
      </c>
      <c r="I296" s="4">
        <v>0</v>
      </c>
      <c r="J296" s="4">
        <v>0</v>
      </c>
      <c r="K296" s="4">
        <v>0</v>
      </c>
      <c r="L296" s="4">
        <v>0.5</v>
      </c>
      <c r="M296" s="4">
        <v>0</v>
      </c>
      <c r="N296" s="4">
        <v>0</v>
      </c>
      <c r="O296" s="4">
        <v>0</v>
      </c>
      <c r="P296" s="4">
        <v>0.5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</row>
    <row r="297" spans="1:38" x14ac:dyDescent="0.25">
      <c r="A297" s="4">
        <v>74</v>
      </c>
      <c r="B297" s="4" t="s">
        <v>558</v>
      </c>
      <c r="C297" s="4" t="s">
        <v>851</v>
      </c>
      <c r="D297" s="4" t="s">
        <v>372</v>
      </c>
      <c r="E297" s="4">
        <v>0</v>
      </c>
      <c r="F297" s="4">
        <v>0</v>
      </c>
      <c r="G297" s="4">
        <v>0</v>
      </c>
      <c r="H297" s="4">
        <v>0</v>
      </c>
      <c r="I297" s="4">
        <v>3</v>
      </c>
      <c r="J297" s="4">
        <v>0</v>
      </c>
      <c r="K297" s="4">
        <v>0</v>
      </c>
      <c r="L297" s="4">
        <v>0</v>
      </c>
      <c r="M297" s="4">
        <v>0.5</v>
      </c>
      <c r="N297" s="4">
        <v>0</v>
      </c>
      <c r="O297" s="4">
        <v>0</v>
      </c>
      <c r="P297" s="4">
        <v>0</v>
      </c>
      <c r="Q297" s="4">
        <v>0.5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</row>
    <row r="298" spans="1:38" x14ac:dyDescent="0.25">
      <c r="A298" s="4">
        <v>75</v>
      </c>
      <c r="B298" s="4" t="s">
        <v>552</v>
      </c>
      <c r="C298" s="4" t="s">
        <v>852</v>
      </c>
      <c r="D298" s="4" t="s">
        <v>377</v>
      </c>
      <c r="E298" s="4">
        <v>0</v>
      </c>
      <c r="F298" s="4">
        <v>3</v>
      </c>
      <c r="G298" s="4">
        <v>0</v>
      </c>
      <c r="H298" s="4">
        <v>0</v>
      </c>
      <c r="I298" s="4">
        <v>0</v>
      </c>
      <c r="J298" s="4">
        <v>0.5</v>
      </c>
      <c r="K298" s="4">
        <v>0</v>
      </c>
      <c r="L298" s="4">
        <v>0</v>
      </c>
      <c r="M298" s="4">
        <v>0</v>
      </c>
      <c r="N298" s="4">
        <v>0.5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</row>
    <row r="299" spans="1:38" x14ac:dyDescent="0.25">
      <c r="A299" s="4">
        <v>75</v>
      </c>
      <c r="B299" s="4" t="s">
        <v>554</v>
      </c>
      <c r="C299" s="4" t="s">
        <v>853</v>
      </c>
      <c r="D299" s="4" t="s">
        <v>377</v>
      </c>
      <c r="E299" s="4">
        <v>0</v>
      </c>
      <c r="F299" s="4">
        <v>0</v>
      </c>
      <c r="G299" s="4">
        <v>3</v>
      </c>
      <c r="H299" s="4">
        <v>0</v>
      </c>
      <c r="I299" s="4">
        <v>0</v>
      </c>
      <c r="J299" s="4">
        <v>0</v>
      </c>
      <c r="K299" s="4">
        <v>0.5</v>
      </c>
      <c r="L299" s="4">
        <v>0</v>
      </c>
      <c r="M299" s="4">
        <v>0</v>
      </c>
      <c r="N299" s="4">
        <v>0</v>
      </c>
      <c r="O299" s="4">
        <v>0.5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</row>
    <row r="300" spans="1:38" x14ac:dyDescent="0.25">
      <c r="A300" s="4">
        <v>75</v>
      </c>
      <c r="B300" s="4" t="s">
        <v>556</v>
      </c>
      <c r="C300" s="4" t="s">
        <v>854</v>
      </c>
      <c r="D300" s="4" t="s">
        <v>377</v>
      </c>
      <c r="E300" s="4">
        <v>0</v>
      </c>
      <c r="F300" s="4">
        <v>0</v>
      </c>
      <c r="G300" s="4">
        <v>0</v>
      </c>
      <c r="H300" s="4">
        <v>3</v>
      </c>
      <c r="I300" s="4">
        <v>0</v>
      </c>
      <c r="J300" s="4">
        <v>0</v>
      </c>
      <c r="K300" s="4">
        <v>0</v>
      </c>
      <c r="L300" s="4">
        <v>0.5</v>
      </c>
      <c r="M300" s="4">
        <v>0</v>
      </c>
      <c r="N300" s="4">
        <v>0</v>
      </c>
      <c r="O300" s="4">
        <v>0</v>
      </c>
      <c r="P300" s="4">
        <v>0.5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</row>
    <row r="301" spans="1:38" x14ac:dyDescent="0.25">
      <c r="A301" s="4">
        <v>75</v>
      </c>
      <c r="B301" s="4" t="s">
        <v>558</v>
      </c>
      <c r="C301" s="4" t="s">
        <v>855</v>
      </c>
      <c r="D301" s="4" t="s">
        <v>377</v>
      </c>
      <c r="E301" s="4">
        <v>0</v>
      </c>
      <c r="F301" s="4">
        <v>0</v>
      </c>
      <c r="G301" s="4">
        <v>0</v>
      </c>
      <c r="H301" s="4">
        <v>0</v>
      </c>
      <c r="I301" s="4">
        <v>3</v>
      </c>
      <c r="J301" s="4">
        <v>0</v>
      </c>
      <c r="K301" s="4">
        <v>0</v>
      </c>
      <c r="L301" s="4">
        <v>0</v>
      </c>
      <c r="M301" s="4">
        <v>0.5</v>
      </c>
      <c r="N301" s="4">
        <v>0</v>
      </c>
      <c r="O301" s="4">
        <v>0</v>
      </c>
      <c r="P301" s="4">
        <v>0</v>
      </c>
      <c r="Q301" s="4">
        <v>0.5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</row>
    <row r="302" spans="1:38" ht="30" x14ac:dyDescent="0.25">
      <c r="A302" s="4">
        <v>76</v>
      </c>
      <c r="B302" s="4" t="s">
        <v>552</v>
      </c>
      <c r="C302" s="4" t="s">
        <v>856</v>
      </c>
      <c r="D302" s="4" t="s">
        <v>382</v>
      </c>
      <c r="E302" s="4">
        <v>0</v>
      </c>
      <c r="F302" s="4">
        <v>3</v>
      </c>
      <c r="G302" s="4">
        <v>0</v>
      </c>
      <c r="H302" s="4">
        <v>0</v>
      </c>
      <c r="I302" s="4">
        <v>0</v>
      </c>
      <c r="J302" s="4">
        <v>0.5</v>
      </c>
      <c r="K302" s="4">
        <v>0</v>
      </c>
      <c r="L302" s="4">
        <v>0</v>
      </c>
      <c r="M302" s="4">
        <v>0</v>
      </c>
      <c r="N302" s="4">
        <v>0.5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</row>
    <row r="303" spans="1:38" ht="30" x14ac:dyDescent="0.25">
      <c r="A303" s="4">
        <v>76</v>
      </c>
      <c r="B303" s="4" t="s">
        <v>554</v>
      </c>
      <c r="C303" s="4" t="s">
        <v>857</v>
      </c>
      <c r="D303" s="4" t="s">
        <v>382</v>
      </c>
      <c r="E303" s="4">
        <v>0</v>
      </c>
      <c r="F303" s="4">
        <v>0</v>
      </c>
      <c r="G303" s="4">
        <v>3</v>
      </c>
      <c r="H303" s="4">
        <v>0</v>
      </c>
      <c r="I303" s="4">
        <v>0</v>
      </c>
      <c r="J303" s="4">
        <v>0</v>
      </c>
      <c r="K303" s="4">
        <v>0.5</v>
      </c>
      <c r="L303" s="4">
        <v>0</v>
      </c>
      <c r="M303" s="4">
        <v>0</v>
      </c>
      <c r="N303" s="4">
        <v>0</v>
      </c>
      <c r="O303" s="4">
        <v>0.5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</row>
    <row r="304" spans="1:38" ht="30" x14ac:dyDescent="0.25">
      <c r="A304" s="4">
        <v>76</v>
      </c>
      <c r="B304" s="4" t="s">
        <v>556</v>
      </c>
      <c r="C304" s="4" t="s">
        <v>858</v>
      </c>
      <c r="D304" s="4" t="s">
        <v>382</v>
      </c>
      <c r="E304" s="4">
        <v>0</v>
      </c>
      <c r="F304" s="4">
        <v>0</v>
      </c>
      <c r="G304" s="4">
        <v>0</v>
      </c>
      <c r="H304" s="4">
        <v>3</v>
      </c>
      <c r="I304" s="4">
        <v>0</v>
      </c>
      <c r="J304" s="4">
        <v>0</v>
      </c>
      <c r="K304" s="4">
        <v>0</v>
      </c>
      <c r="L304" s="4">
        <v>0.5</v>
      </c>
      <c r="M304" s="4">
        <v>0</v>
      </c>
      <c r="N304" s="4">
        <v>0</v>
      </c>
      <c r="O304" s="4">
        <v>0</v>
      </c>
      <c r="P304" s="4">
        <v>0.5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</row>
    <row r="305" spans="1:38" ht="30" x14ac:dyDescent="0.25">
      <c r="A305" s="4">
        <v>76</v>
      </c>
      <c r="B305" s="4" t="s">
        <v>558</v>
      </c>
      <c r="C305" s="4" t="s">
        <v>859</v>
      </c>
      <c r="D305" s="4" t="s">
        <v>382</v>
      </c>
      <c r="E305" s="4">
        <v>0</v>
      </c>
      <c r="F305" s="4">
        <v>0</v>
      </c>
      <c r="G305" s="4">
        <v>0</v>
      </c>
      <c r="H305" s="4">
        <v>0</v>
      </c>
      <c r="I305" s="4">
        <v>3</v>
      </c>
      <c r="J305" s="4">
        <v>0</v>
      </c>
      <c r="K305" s="4">
        <v>0</v>
      </c>
      <c r="L305" s="4">
        <v>0</v>
      </c>
      <c r="M305" s="4">
        <v>0.5</v>
      </c>
      <c r="N305" s="4">
        <v>0</v>
      </c>
      <c r="O305" s="4">
        <v>0</v>
      </c>
      <c r="P305" s="4">
        <v>0</v>
      </c>
      <c r="Q305" s="4">
        <v>0.5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</row>
    <row r="306" spans="1:38" x14ac:dyDescent="0.25">
      <c r="A306" s="4">
        <v>77</v>
      </c>
      <c r="B306" s="4" t="s">
        <v>552</v>
      </c>
      <c r="C306" s="4" t="s">
        <v>860</v>
      </c>
      <c r="D306" s="4" t="s">
        <v>386</v>
      </c>
      <c r="E306" s="4">
        <v>1</v>
      </c>
      <c r="F306" s="4">
        <v>3</v>
      </c>
      <c r="G306" s="4">
        <v>0</v>
      </c>
      <c r="H306" s="4">
        <v>0</v>
      </c>
      <c r="I306" s="4">
        <v>0</v>
      </c>
      <c r="J306" s="4">
        <v>0.5</v>
      </c>
      <c r="K306" s="4">
        <v>0</v>
      </c>
      <c r="L306" s="4">
        <v>0</v>
      </c>
      <c r="M306" s="4">
        <v>0</v>
      </c>
      <c r="N306" s="4">
        <v>0.5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</row>
    <row r="307" spans="1:38" x14ac:dyDescent="0.25">
      <c r="A307" s="4">
        <v>77</v>
      </c>
      <c r="B307" s="4" t="s">
        <v>554</v>
      </c>
      <c r="C307" s="4" t="s">
        <v>861</v>
      </c>
      <c r="D307" s="4" t="s">
        <v>386</v>
      </c>
      <c r="E307" s="4">
        <v>1</v>
      </c>
      <c r="F307" s="4">
        <v>0</v>
      </c>
      <c r="G307" s="4">
        <v>3</v>
      </c>
      <c r="H307" s="4">
        <v>0</v>
      </c>
      <c r="I307" s="4">
        <v>0</v>
      </c>
      <c r="J307" s="4">
        <v>0</v>
      </c>
      <c r="K307" s="4">
        <v>0.5</v>
      </c>
      <c r="L307" s="4">
        <v>0</v>
      </c>
      <c r="M307" s="4">
        <v>0</v>
      </c>
      <c r="N307" s="4">
        <v>0</v>
      </c>
      <c r="O307" s="4">
        <v>0.5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</row>
    <row r="308" spans="1:38" x14ac:dyDescent="0.25">
      <c r="A308" s="4">
        <v>77</v>
      </c>
      <c r="B308" s="4" t="s">
        <v>556</v>
      </c>
      <c r="C308" s="4" t="s">
        <v>862</v>
      </c>
      <c r="D308" s="4" t="s">
        <v>386</v>
      </c>
      <c r="E308" s="4">
        <v>1</v>
      </c>
      <c r="F308" s="4">
        <v>0</v>
      </c>
      <c r="G308" s="4">
        <v>0</v>
      </c>
      <c r="H308" s="4">
        <v>3</v>
      </c>
      <c r="I308" s="4">
        <v>0</v>
      </c>
      <c r="J308" s="4">
        <v>0</v>
      </c>
      <c r="K308" s="4">
        <v>0</v>
      </c>
      <c r="L308" s="4">
        <v>0.5</v>
      </c>
      <c r="M308" s="4">
        <v>0</v>
      </c>
      <c r="N308" s="4">
        <v>0</v>
      </c>
      <c r="O308" s="4">
        <v>0</v>
      </c>
      <c r="P308" s="4">
        <v>0.5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</row>
    <row r="309" spans="1:38" x14ac:dyDescent="0.25">
      <c r="A309" s="4">
        <v>77</v>
      </c>
      <c r="B309" s="4" t="s">
        <v>558</v>
      </c>
      <c r="C309" s="4" t="s">
        <v>863</v>
      </c>
      <c r="D309" s="4" t="s">
        <v>386</v>
      </c>
      <c r="E309" s="4">
        <v>1</v>
      </c>
      <c r="F309" s="4">
        <v>0</v>
      </c>
      <c r="G309" s="4">
        <v>0</v>
      </c>
      <c r="H309" s="4">
        <v>0</v>
      </c>
      <c r="I309" s="4">
        <v>3</v>
      </c>
      <c r="J309" s="4">
        <v>0</v>
      </c>
      <c r="K309" s="4">
        <v>0</v>
      </c>
      <c r="L309" s="4">
        <v>0</v>
      </c>
      <c r="M309" s="4">
        <v>0.5</v>
      </c>
      <c r="N309" s="4">
        <v>0</v>
      </c>
      <c r="O309" s="4">
        <v>0</v>
      </c>
      <c r="P309" s="4">
        <v>0</v>
      </c>
      <c r="Q309" s="4">
        <v>0.5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</row>
    <row r="310" spans="1:38" x14ac:dyDescent="0.25">
      <c r="A310" s="4">
        <v>78</v>
      </c>
      <c r="B310" s="4" t="s">
        <v>552</v>
      </c>
      <c r="C310" s="4" t="s">
        <v>864</v>
      </c>
      <c r="D310" s="4" t="s">
        <v>391</v>
      </c>
      <c r="E310" s="4">
        <v>0</v>
      </c>
      <c r="F310" s="4">
        <v>3</v>
      </c>
      <c r="G310" s="4">
        <v>0</v>
      </c>
      <c r="H310" s="4">
        <v>0</v>
      </c>
      <c r="I310" s="4">
        <v>0</v>
      </c>
      <c r="J310" s="4">
        <v>0.5</v>
      </c>
      <c r="K310" s="4">
        <v>0</v>
      </c>
      <c r="L310" s="4">
        <v>0</v>
      </c>
      <c r="M310" s="4">
        <v>0</v>
      </c>
      <c r="N310" s="4">
        <v>0.5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</row>
    <row r="311" spans="1:38" x14ac:dyDescent="0.25">
      <c r="A311" s="4">
        <v>78</v>
      </c>
      <c r="B311" s="4" t="s">
        <v>554</v>
      </c>
      <c r="C311" s="4" t="s">
        <v>865</v>
      </c>
      <c r="D311" s="4" t="s">
        <v>391</v>
      </c>
      <c r="E311" s="4">
        <v>0</v>
      </c>
      <c r="F311" s="4">
        <v>0</v>
      </c>
      <c r="G311" s="4">
        <v>3</v>
      </c>
      <c r="H311" s="4">
        <v>0</v>
      </c>
      <c r="I311" s="4">
        <v>0</v>
      </c>
      <c r="J311" s="4">
        <v>0</v>
      </c>
      <c r="K311" s="4">
        <v>0.5</v>
      </c>
      <c r="L311" s="4">
        <v>0</v>
      </c>
      <c r="M311" s="4">
        <v>0</v>
      </c>
      <c r="N311" s="4">
        <v>0</v>
      </c>
      <c r="O311" s="4">
        <v>0.5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</row>
    <row r="312" spans="1:38" x14ac:dyDescent="0.25">
      <c r="A312" s="4">
        <v>78</v>
      </c>
      <c r="B312" s="4" t="s">
        <v>556</v>
      </c>
      <c r="C312" s="4" t="s">
        <v>866</v>
      </c>
      <c r="D312" s="4" t="s">
        <v>391</v>
      </c>
      <c r="E312" s="4">
        <v>0</v>
      </c>
      <c r="F312" s="4">
        <v>0</v>
      </c>
      <c r="G312" s="4">
        <v>0</v>
      </c>
      <c r="H312" s="4">
        <v>3</v>
      </c>
      <c r="I312" s="4">
        <v>0</v>
      </c>
      <c r="J312" s="4">
        <v>0</v>
      </c>
      <c r="K312" s="4">
        <v>0</v>
      </c>
      <c r="L312" s="4">
        <v>0.5</v>
      </c>
      <c r="M312" s="4">
        <v>0</v>
      </c>
      <c r="N312" s="4">
        <v>0</v>
      </c>
      <c r="O312" s="4">
        <v>0</v>
      </c>
      <c r="P312" s="4">
        <v>0.5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</row>
    <row r="313" spans="1:38" x14ac:dyDescent="0.25">
      <c r="A313" s="4">
        <v>78</v>
      </c>
      <c r="B313" s="4" t="s">
        <v>558</v>
      </c>
      <c r="C313" s="4" t="s">
        <v>867</v>
      </c>
      <c r="D313" s="4" t="s">
        <v>391</v>
      </c>
      <c r="E313" s="4">
        <v>0</v>
      </c>
      <c r="F313" s="4">
        <v>0</v>
      </c>
      <c r="G313" s="4">
        <v>0</v>
      </c>
      <c r="H313" s="4">
        <v>0</v>
      </c>
      <c r="I313" s="4">
        <v>3</v>
      </c>
      <c r="J313" s="4">
        <v>0</v>
      </c>
      <c r="K313" s="4">
        <v>0</v>
      </c>
      <c r="L313" s="4">
        <v>0</v>
      </c>
      <c r="M313" s="4">
        <v>0.5</v>
      </c>
      <c r="N313" s="4">
        <v>0</v>
      </c>
      <c r="O313" s="4">
        <v>0</v>
      </c>
      <c r="P313" s="4">
        <v>0</v>
      </c>
      <c r="Q313" s="4">
        <v>0.5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</row>
    <row r="314" spans="1:38" x14ac:dyDescent="0.25">
      <c r="A314" s="4">
        <v>79</v>
      </c>
      <c r="B314" s="4" t="s">
        <v>552</v>
      </c>
      <c r="C314" s="4" t="s">
        <v>868</v>
      </c>
      <c r="D314" s="4" t="s">
        <v>396</v>
      </c>
      <c r="E314" s="4">
        <v>0</v>
      </c>
      <c r="F314" s="4">
        <v>3</v>
      </c>
      <c r="G314" s="4">
        <v>0</v>
      </c>
      <c r="H314" s="4">
        <v>0</v>
      </c>
      <c r="I314" s="4">
        <v>0</v>
      </c>
      <c r="J314" s="4">
        <v>0.5</v>
      </c>
      <c r="K314" s="4">
        <v>0</v>
      </c>
      <c r="L314" s="4">
        <v>0</v>
      </c>
      <c r="M314" s="4">
        <v>0</v>
      </c>
      <c r="N314" s="4">
        <v>0.5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</row>
    <row r="315" spans="1:38" x14ac:dyDescent="0.25">
      <c r="A315" s="4">
        <v>79</v>
      </c>
      <c r="B315" s="4" t="s">
        <v>554</v>
      </c>
      <c r="C315" s="4" t="s">
        <v>869</v>
      </c>
      <c r="D315" s="4" t="s">
        <v>396</v>
      </c>
      <c r="E315" s="4">
        <v>0</v>
      </c>
      <c r="F315" s="4">
        <v>0</v>
      </c>
      <c r="G315" s="4">
        <v>3</v>
      </c>
      <c r="H315" s="4">
        <v>0</v>
      </c>
      <c r="I315" s="4">
        <v>0</v>
      </c>
      <c r="J315" s="4">
        <v>0</v>
      </c>
      <c r="K315" s="4">
        <v>0.5</v>
      </c>
      <c r="L315" s="4">
        <v>0</v>
      </c>
      <c r="M315" s="4">
        <v>0</v>
      </c>
      <c r="N315" s="4">
        <v>0</v>
      </c>
      <c r="O315" s="4">
        <v>0.5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</row>
    <row r="316" spans="1:38" x14ac:dyDescent="0.25">
      <c r="A316" s="4">
        <v>79</v>
      </c>
      <c r="B316" s="4" t="s">
        <v>556</v>
      </c>
      <c r="C316" s="4" t="s">
        <v>870</v>
      </c>
      <c r="D316" s="4" t="s">
        <v>396</v>
      </c>
      <c r="E316" s="4">
        <v>0</v>
      </c>
      <c r="F316" s="4">
        <v>0</v>
      </c>
      <c r="G316" s="4">
        <v>0</v>
      </c>
      <c r="H316" s="4">
        <v>3</v>
      </c>
      <c r="I316" s="4">
        <v>0</v>
      </c>
      <c r="J316" s="4">
        <v>0</v>
      </c>
      <c r="K316" s="4">
        <v>0</v>
      </c>
      <c r="L316" s="4">
        <v>0.5</v>
      </c>
      <c r="M316" s="4">
        <v>0</v>
      </c>
      <c r="N316" s="4">
        <v>0</v>
      </c>
      <c r="O316" s="4">
        <v>0</v>
      </c>
      <c r="P316" s="4">
        <v>0.5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</row>
    <row r="317" spans="1:38" x14ac:dyDescent="0.25">
      <c r="A317" s="4">
        <v>79</v>
      </c>
      <c r="B317" s="4" t="s">
        <v>558</v>
      </c>
      <c r="C317" s="4" t="s">
        <v>871</v>
      </c>
      <c r="D317" s="4" t="s">
        <v>396</v>
      </c>
      <c r="E317" s="4">
        <v>0</v>
      </c>
      <c r="F317" s="4">
        <v>0</v>
      </c>
      <c r="G317" s="4">
        <v>0</v>
      </c>
      <c r="H317" s="4">
        <v>0</v>
      </c>
      <c r="I317" s="4">
        <v>3</v>
      </c>
      <c r="J317" s="4">
        <v>0</v>
      </c>
      <c r="K317" s="4">
        <v>0</v>
      </c>
      <c r="L317" s="4">
        <v>0</v>
      </c>
      <c r="M317" s="4">
        <v>0.5</v>
      </c>
      <c r="N317" s="4">
        <v>0</v>
      </c>
      <c r="O317" s="4">
        <v>0</v>
      </c>
      <c r="P317" s="4">
        <v>0</v>
      </c>
      <c r="Q317" s="4">
        <v>0.5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</row>
    <row r="318" spans="1:38" ht="30" x14ac:dyDescent="0.25">
      <c r="A318" s="4">
        <v>80</v>
      </c>
      <c r="B318" s="4" t="s">
        <v>552</v>
      </c>
      <c r="C318" s="4" t="s">
        <v>872</v>
      </c>
      <c r="D318" s="4" t="s">
        <v>399</v>
      </c>
      <c r="E318" s="4">
        <v>0</v>
      </c>
      <c r="F318" s="4">
        <v>3</v>
      </c>
      <c r="G318" s="4">
        <v>0</v>
      </c>
      <c r="H318" s="4">
        <v>0</v>
      </c>
      <c r="I318" s="4">
        <v>0</v>
      </c>
      <c r="J318" s="4">
        <v>0.5</v>
      </c>
      <c r="K318" s="4">
        <v>0</v>
      </c>
      <c r="L318" s="4">
        <v>0</v>
      </c>
      <c r="M318" s="4">
        <v>0</v>
      </c>
      <c r="N318" s="4">
        <v>0.5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</row>
    <row r="319" spans="1:38" ht="30" x14ac:dyDescent="0.25">
      <c r="A319" s="4">
        <v>80</v>
      </c>
      <c r="B319" s="4" t="s">
        <v>554</v>
      </c>
      <c r="C319" s="4" t="s">
        <v>873</v>
      </c>
      <c r="D319" s="4" t="s">
        <v>399</v>
      </c>
      <c r="E319" s="4">
        <v>0</v>
      </c>
      <c r="F319" s="4">
        <v>0</v>
      </c>
      <c r="G319" s="4">
        <v>3</v>
      </c>
      <c r="H319" s="4">
        <v>0</v>
      </c>
      <c r="I319" s="4">
        <v>0</v>
      </c>
      <c r="J319" s="4">
        <v>0</v>
      </c>
      <c r="K319" s="4">
        <v>0.5</v>
      </c>
      <c r="L319" s="4">
        <v>0</v>
      </c>
      <c r="M319" s="4">
        <v>0</v>
      </c>
      <c r="N319" s="4">
        <v>0</v>
      </c>
      <c r="O319" s="4">
        <v>0.5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</row>
    <row r="320" spans="1:38" ht="30" x14ac:dyDescent="0.25">
      <c r="A320" s="4">
        <v>80</v>
      </c>
      <c r="B320" s="4" t="s">
        <v>556</v>
      </c>
      <c r="C320" s="4" t="s">
        <v>874</v>
      </c>
      <c r="D320" s="4" t="s">
        <v>399</v>
      </c>
      <c r="E320" s="4">
        <v>0</v>
      </c>
      <c r="F320" s="4">
        <v>0</v>
      </c>
      <c r="G320" s="4">
        <v>0</v>
      </c>
      <c r="H320" s="4">
        <v>3</v>
      </c>
      <c r="I320" s="4">
        <v>0</v>
      </c>
      <c r="J320" s="4">
        <v>0</v>
      </c>
      <c r="K320" s="4">
        <v>0</v>
      </c>
      <c r="L320" s="4">
        <v>0.5</v>
      </c>
      <c r="M320" s="4">
        <v>0</v>
      </c>
      <c r="N320" s="4">
        <v>0</v>
      </c>
      <c r="O320" s="4">
        <v>0</v>
      </c>
      <c r="P320" s="4">
        <v>0.5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</row>
    <row r="321" spans="1:38" ht="30" x14ac:dyDescent="0.25">
      <c r="A321" s="4">
        <v>80</v>
      </c>
      <c r="B321" s="4" t="s">
        <v>558</v>
      </c>
      <c r="C321" s="4" t="s">
        <v>875</v>
      </c>
      <c r="D321" s="4" t="s">
        <v>399</v>
      </c>
      <c r="E321" s="4">
        <v>0</v>
      </c>
      <c r="F321" s="4">
        <v>0</v>
      </c>
      <c r="G321" s="4">
        <v>0</v>
      </c>
      <c r="H321" s="4">
        <v>0</v>
      </c>
      <c r="I321" s="4">
        <v>3</v>
      </c>
      <c r="J321" s="4">
        <v>0</v>
      </c>
      <c r="K321" s="4">
        <v>0</v>
      </c>
      <c r="L321" s="4">
        <v>0</v>
      </c>
      <c r="M321" s="4">
        <v>0.5</v>
      </c>
      <c r="N321" s="4">
        <v>0</v>
      </c>
      <c r="O321" s="4">
        <v>0</v>
      </c>
      <c r="P321" s="4">
        <v>0</v>
      </c>
      <c r="Q321" s="4">
        <v>0.5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81"/>
  <sheetViews>
    <sheetView workbookViewId="0">
      <selection activeCell="C2" sqref="C2"/>
    </sheetView>
  </sheetViews>
  <sheetFormatPr defaultRowHeight="15" x14ac:dyDescent="0.25"/>
  <cols>
    <col min="1" max="1" width="8" customWidth="1"/>
    <col min="2" max="2" width="26" customWidth="1"/>
    <col min="3" max="3" width="44" customWidth="1"/>
    <col min="4" max="4" width="10" customWidth="1"/>
    <col min="5" max="5" width="34" customWidth="1"/>
    <col min="6" max="6" width="10" customWidth="1"/>
    <col min="7" max="39" width="12" customWidth="1"/>
  </cols>
  <sheetData>
    <row r="1" spans="1:39" ht="60" x14ac:dyDescent="0.25">
      <c r="A1" s="3" t="s">
        <v>11</v>
      </c>
      <c r="B1" s="3" t="s">
        <v>10</v>
      </c>
      <c r="C1" s="3" t="s">
        <v>517</v>
      </c>
      <c r="D1" s="3" t="s">
        <v>876</v>
      </c>
      <c r="E1" s="3" t="s">
        <v>877</v>
      </c>
      <c r="F1" s="3" t="s">
        <v>422</v>
      </c>
      <c r="G1" s="3" t="s">
        <v>519</v>
      </c>
      <c r="H1" s="3" t="s">
        <v>520</v>
      </c>
      <c r="I1" s="3" t="s">
        <v>521</v>
      </c>
      <c r="J1" s="3" t="s">
        <v>522</v>
      </c>
      <c r="K1" s="3" t="s">
        <v>523</v>
      </c>
      <c r="L1" s="3" t="s">
        <v>524</v>
      </c>
      <c r="M1" s="3" t="s">
        <v>525</v>
      </c>
      <c r="N1" s="3" t="s">
        <v>526</v>
      </c>
      <c r="O1" s="3" t="s">
        <v>527</v>
      </c>
      <c r="P1" s="3" t="s">
        <v>528</v>
      </c>
      <c r="Q1" s="3" t="s">
        <v>529</v>
      </c>
      <c r="R1" s="3" t="s">
        <v>530</v>
      </c>
      <c r="S1" s="3" t="s">
        <v>531</v>
      </c>
      <c r="T1" s="3" t="s">
        <v>532</v>
      </c>
      <c r="U1" s="3" t="s">
        <v>533</v>
      </c>
      <c r="V1" s="3" t="s">
        <v>534</v>
      </c>
      <c r="W1" s="3" t="s">
        <v>535</v>
      </c>
      <c r="X1" s="3" t="s">
        <v>536</v>
      </c>
      <c r="Y1" s="3" t="s">
        <v>537</v>
      </c>
      <c r="Z1" s="3" t="s">
        <v>538</v>
      </c>
      <c r="AA1" s="3" t="s">
        <v>539</v>
      </c>
      <c r="AB1" s="3" t="s">
        <v>540</v>
      </c>
      <c r="AC1" s="3" t="s">
        <v>541</v>
      </c>
      <c r="AD1" s="3" t="s">
        <v>542</v>
      </c>
      <c r="AE1" s="3" t="s">
        <v>543</v>
      </c>
      <c r="AF1" s="3" t="s">
        <v>544</v>
      </c>
      <c r="AG1" s="3" t="s">
        <v>545</v>
      </c>
      <c r="AH1" s="3" t="s">
        <v>546</v>
      </c>
      <c r="AI1" s="3" t="s">
        <v>547</v>
      </c>
      <c r="AJ1" s="3" t="s">
        <v>548</v>
      </c>
      <c r="AK1" s="3" t="s">
        <v>549</v>
      </c>
      <c r="AL1" s="3" t="s">
        <v>550</v>
      </c>
      <c r="AM1" s="3" t="s">
        <v>551</v>
      </c>
    </row>
    <row r="2" spans="1:39" x14ac:dyDescent="0.25">
      <c r="A2" s="4">
        <v>1</v>
      </c>
      <c r="B2" s="4" t="s">
        <v>16</v>
      </c>
      <c r="C2" s="4" t="s">
        <v>17</v>
      </c>
      <c r="D2" s="5" t="s">
        <v>878</v>
      </c>
      <c r="E2" s="4" t="str">
        <f>IF(D2="","",INDEX(Questions!$D$2:$G$81,MATCH(A2,Questions!$A$2:$A$81,0),MATCH(D2,{"A","B","C","D"},0)))</f>
        <v/>
      </c>
      <c r="F2" s="4" t="str">
        <f t="shared" ref="F2:F33" si="0">A2&amp;"|"&amp;D2</f>
        <v>1|</v>
      </c>
      <c r="G2" s="4" t="str">
        <f>IF($D2="","",SUMIFS(Weights!$F:$F,Weights!$C:$C,$F2))</f>
        <v/>
      </c>
      <c r="H2" s="4" t="str">
        <f>IF($D2="","",SUMIFS(Weights!$G:$G,Weights!$C:$C,$F2))</f>
        <v/>
      </c>
      <c r="I2" s="4" t="str">
        <f>IF($D2="","",SUMIFS(Weights!$H:$H,Weights!$C:$C,$F2))</f>
        <v/>
      </c>
      <c r="J2" s="4" t="str">
        <f>IF($D2="","",SUMIFS(Weights!$I:$I,Weights!$C:$C,$F2))</f>
        <v/>
      </c>
      <c r="K2" s="4" t="str">
        <f>IF($D2="","",SUMIFS(Weights!$J:$J,Weights!$C:$C,$F2))</f>
        <v/>
      </c>
      <c r="L2" s="4" t="str">
        <f>IF($D2="","",SUMIFS(Weights!$K:$K,Weights!$C:$C,$F2))</f>
        <v/>
      </c>
      <c r="M2" s="4" t="str">
        <f>IF($D2="","",SUMIFS(Weights!$L:$L,Weights!$C:$C,$F2))</f>
        <v/>
      </c>
      <c r="N2" s="4" t="str">
        <f>IF($D2="","",SUMIFS(Weights!$M:$M,Weights!$C:$C,$F2))</f>
        <v/>
      </c>
      <c r="O2" s="4" t="str">
        <f>IF($D2="","",SUMIFS(Weights!$N:$N,Weights!$C:$C,$F2))</f>
        <v/>
      </c>
      <c r="P2" s="4" t="str">
        <f>IF($D2="","",SUMIFS(Weights!$O:$O,Weights!$C:$C,$F2))</f>
        <v/>
      </c>
      <c r="Q2" s="4" t="str">
        <f>IF($D2="","",SUMIFS(Weights!$P:$P,Weights!$C:$C,$F2))</f>
        <v/>
      </c>
      <c r="R2" s="4" t="str">
        <f>IF($D2="","",SUMIFS(Weights!$Q:$Q,Weights!$C:$C,$F2))</f>
        <v/>
      </c>
      <c r="S2" s="4" t="str">
        <f>IF($D2="","",SUMIFS(Weights!$R:$R,Weights!$C:$C,$F2))</f>
        <v/>
      </c>
      <c r="T2" s="4" t="str">
        <f>IF($D2="","",SUMIFS(Weights!$S:$S,Weights!$C:$C,$F2))</f>
        <v/>
      </c>
      <c r="U2" s="4" t="str">
        <f>IF($D2="","",SUMIFS(Weights!$T:$T,Weights!$C:$C,$F2))</f>
        <v/>
      </c>
      <c r="V2" s="4" t="str">
        <f>IF($D2="","",SUMIFS(Weights!$U:$U,Weights!$C:$C,$F2))</f>
        <v/>
      </c>
      <c r="W2" s="4" t="str">
        <f>IF($D2="","",SUMIFS(Weights!$V:$V,Weights!$C:$C,$F2))</f>
        <v/>
      </c>
      <c r="X2" s="4" t="str">
        <f>IF($D2="","",SUMIFS(Weights!$W:$W,Weights!$C:$C,$F2))</f>
        <v/>
      </c>
      <c r="Y2" s="4" t="str">
        <f>IF($D2="","",SUMIFS(Weights!$X:$X,Weights!$C:$C,$F2))</f>
        <v/>
      </c>
      <c r="Z2" s="4" t="str">
        <f>IF($D2="","",SUMIFS(Weights!$Y:$Y,Weights!$C:$C,$F2))</f>
        <v/>
      </c>
      <c r="AA2" s="4" t="str">
        <f>IF($D2="","",SUMIFS(Weights!$Z:$Z,Weights!$C:$C,$F2))</f>
        <v/>
      </c>
      <c r="AB2" s="4" t="str">
        <f>IF($D2="","",SUMIFS(Weights!$AA:$AA,Weights!$C:$C,$F2))</f>
        <v/>
      </c>
      <c r="AC2" s="4" t="str">
        <f>IF($D2="","",SUMIFS(Weights!$AB:$AB,Weights!$C:$C,$F2))</f>
        <v/>
      </c>
      <c r="AD2" s="4" t="str">
        <f>IF($D2="","",SUMIFS(Weights!$AC:$AC,Weights!$C:$C,$F2))</f>
        <v/>
      </c>
      <c r="AE2" s="4" t="str">
        <f>IF($D2="","",SUMIFS(Weights!$AD:$AD,Weights!$C:$C,$F2))</f>
        <v/>
      </c>
      <c r="AF2" s="4" t="str">
        <f>IF($D2="","",SUMIFS(Weights!$AE:$AE,Weights!$C:$C,$F2))</f>
        <v/>
      </c>
      <c r="AG2" s="4" t="str">
        <f>IF($D2="","",SUMIFS(Weights!$AF:$AF,Weights!$C:$C,$F2))</f>
        <v/>
      </c>
      <c r="AH2" s="4" t="str">
        <f>IF($D2="","",SUMIFS(Weights!$AG:$AG,Weights!$C:$C,$F2))</f>
        <v/>
      </c>
      <c r="AI2" s="4" t="str">
        <f>IF($D2="","",SUMIFS(Weights!$AH:$AH,Weights!$C:$C,$F2))</f>
        <v/>
      </c>
      <c r="AJ2" s="4" t="str">
        <f>IF($D2="","",SUMIFS(Weights!$AI:$AI,Weights!$C:$C,$F2))</f>
        <v/>
      </c>
      <c r="AK2" s="4" t="str">
        <f>IF($D2="","",SUMIFS(Weights!$AJ:$AJ,Weights!$C:$C,$F2))</f>
        <v/>
      </c>
      <c r="AL2" s="4" t="str">
        <f>IF($D2="","",SUMIFS(Weights!$AK:$AK,Weights!$C:$C,$F2))</f>
        <v/>
      </c>
      <c r="AM2" s="4" t="str">
        <f>IF($D2="","",SUMIFS(Weights!$AL:$AL,Weights!$C:$C,$F2))</f>
        <v/>
      </c>
    </row>
    <row r="3" spans="1:39" x14ac:dyDescent="0.25">
      <c r="A3" s="4">
        <v>2</v>
      </c>
      <c r="B3" s="4" t="s">
        <v>16</v>
      </c>
      <c r="C3" s="4" t="s">
        <v>22</v>
      </c>
      <c r="D3" s="5" t="s">
        <v>878</v>
      </c>
      <c r="E3" s="4" t="str">
        <f>IF(D3="","",INDEX(Questions!$D$2:$G$81,MATCH(A3,Questions!$A$2:$A$81,0),MATCH(D3,{"A","B","C","D"},0)))</f>
        <v/>
      </c>
      <c r="F3" s="4" t="str">
        <f t="shared" si="0"/>
        <v>2|</v>
      </c>
      <c r="G3" s="4" t="str">
        <f>IF($D3="","",SUMIFS(Weights!$F:$F,Weights!$C:$C,$F3))</f>
        <v/>
      </c>
      <c r="H3" s="4" t="str">
        <f>IF($D3="","",SUMIFS(Weights!$G:$G,Weights!$C:$C,$F3))</f>
        <v/>
      </c>
      <c r="I3" s="4" t="str">
        <f>IF($D3="","",SUMIFS(Weights!$H:$H,Weights!$C:$C,$F3))</f>
        <v/>
      </c>
      <c r="J3" s="4" t="str">
        <f>IF($D3="","",SUMIFS(Weights!$I:$I,Weights!$C:$C,$F3))</f>
        <v/>
      </c>
      <c r="K3" s="4" t="str">
        <f>IF($D3="","",SUMIFS(Weights!$J:$J,Weights!$C:$C,$F3))</f>
        <v/>
      </c>
      <c r="L3" s="4" t="str">
        <f>IF($D3="","",SUMIFS(Weights!$K:$K,Weights!$C:$C,$F3))</f>
        <v/>
      </c>
      <c r="M3" s="4" t="str">
        <f>IF($D3="","",SUMIFS(Weights!$L:$L,Weights!$C:$C,$F3))</f>
        <v/>
      </c>
      <c r="N3" s="4" t="str">
        <f>IF($D3="","",SUMIFS(Weights!$M:$M,Weights!$C:$C,$F3))</f>
        <v/>
      </c>
      <c r="O3" s="4" t="str">
        <f>IF($D3="","",SUMIFS(Weights!$N:$N,Weights!$C:$C,$F3))</f>
        <v/>
      </c>
      <c r="P3" s="4" t="str">
        <f>IF($D3="","",SUMIFS(Weights!$O:$O,Weights!$C:$C,$F3))</f>
        <v/>
      </c>
      <c r="Q3" s="4" t="str">
        <f>IF($D3="","",SUMIFS(Weights!$P:$P,Weights!$C:$C,$F3))</f>
        <v/>
      </c>
      <c r="R3" s="4" t="str">
        <f>IF($D3="","",SUMIFS(Weights!$Q:$Q,Weights!$C:$C,$F3))</f>
        <v/>
      </c>
      <c r="S3" s="4" t="str">
        <f>IF($D3="","",SUMIFS(Weights!$R:$R,Weights!$C:$C,$F3))</f>
        <v/>
      </c>
      <c r="T3" s="4" t="str">
        <f>IF($D3="","",SUMIFS(Weights!$S:$S,Weights!$C:$C,$F3))</f>
        <v/>
      </c>
      <c r="U3" s="4" t="str">
        <f>IF($D3="","",SUMIFS(Weights!$T:$T,Weights!$C:$C,$F3))</f>
        <v/>
      </c>
      <c r="V3" s="4" t="str">
        <f>IF($D3="","",SUMIFS(Weights!$U:$U,Weights!$C:$C,$F3))</f>
        <v/>
      </c>
      <c r="W3" s="4" t="str">
        <f>IF($D3="","",SUMIFS(Weights!$V:$V,Weights!$C:$C,$F3))</f>
        <v/>
      </c>
      <c r="X3" s="4" t="str">
        <f>IF($D3="","",SUMIFS(Weights!$W:$W,Weights!$C:$C,$F3))</f>
        <v/>
      </c>
      <c r="Y3" s="4" t="str">
        <f>IF($D3="","",SUMIFS(Weights!$X:$X,Weights!$C:$C,$F3))</f>
        <v/>
      </c>
      <c r="Z3" s="4" t="str">
        <f>IF($D3="","",SUMIFS(Weights!$Y:$Y,Weights!$C:$C,$F3))</f>
        <v/>
      </c>
      <c r="AA3" s="4" t="str">
        <f>IF($D3="","",SUMIFS(Weights!$Z:$Z,Weights!$C:$C,$F3))</f>
        <v/>
      </c>
      <c r="AB3" s="4" t="str">
        <f>IF($D3="","",SUMIFS(Weights!$AA:$AA,Weights!$C:$C,$F3))</f>
        <v/>
      </c>
      <c r="AC3" s="4" t="str">
        <f>IF($D3="","",SUMIFS(Weights!$AB:$AB,Weights!$C:$C,$F3))</f>
        <v/>
      </c>
      <c r="AD3" s="4" t="str">
        <f>IF($D3="","",SUMIFS(Weights!$AC:$AC,Weights!$C:$C,$F3))</f>
        <v/>
      </c>
      <c r="AE3" s="4" t="str">
        <f>IF($D3="","",SUMIFS(Weights!$AD:$AD,Weights!$C:$C,$F3))</f>
        <v/>
      </c>
      <c r="AF3" s="4" t="str">
        <f>IF($D3="","",SUMIFS(Weights!$AE:$AE,Weights!$C:$C,$F3))</f>
        <v/>
      </c>
      <c r="AG3" s="4" t="str">
        <f>IF($D3="","",SUMIFS(Weights!$AF:$AF,Weights!$C:$C,$F3))</f>
        <v/>
      </c>
      <c r="AH3" s="4" t="str">
        <f>IF($D3="","",SUMIFS(Weights!$AG:$AG,Weights!$C:$C,$F3))</f>
        <v/>
      </c>
      <c r="AI3" s="4" t="str">
        <f>IF($D3="","",SUMIFS(Weights!$AH:$AH,Weights!$C:$C,$F3))</f>
        <v/>
      </c>
      <c r="AJ3" s="4" t="str">
        <f>IF($D3="","",SUMIFS(Weights!$AI:$AI,Weights!$C:$C,$F3))</f>
        <v/>
      </c>
      <c r="AK3" s="4" t="str">
        <f>IF($D3="","",SUMIFS(Weights!$AJ:$AJ,Weights!$C:$C,$F3))</f>
        <v/>
      </c>
      <c r="AL3" s="4" t="str">
        <f>IF($D3="","",SUMIFS(Weights!$AK:$AK,Weights!$C:$C,$F3))</f>
        <v/>
      </c>
      <c r="AM3" s="4" t="str">
        <f>IF($D3="","",SUMIFS(Weights!$AL:$AL,Weights!$C:$C,$F3))</f>
        <v/>
      </c>
    </row>
    <row r="4" spans="1:39" x14ac:dyDescent="0.25">
      <c r="A4" s="4">
        <v>3</v>
      </c>
      <c r="B4" s="4" t="s">
        <v>16</v>
      </c>
      <c r="C4" s="4" t="s">
        <v>27</v>
      </c>
      <c r="D4" s="5" t="s">
        <v>878</v>
      </c>
      <c r="E4" s="4" t="str">
        <f>IF(D4="","",INDEX(Questions!$D$2:$G$81,MATCH(A4,Questions!$A$2:$A$81,0),MATCH(D4,{"A","B","C","D"},0)))</f>
        <v/>
      </c>
      <c r="F4" s="4" t="str">
        <f t="shared" si="0"/>
        <v>3|</v>
      </c>
      <c r="G4" s="4" t="str">
        <f>IF($D4="","",SUMIFS(Weights!$F:$F,Weights!$C:$C,$F4))</f>
        <v/>
      </c>
      <c r="H4" s="4" t="str">
        <f>IF($D4="","",SUMIFS(Weights!$G:$G,Weights!$C:$C,$F4))</f>
        <v/>
      </c>
      <c r="I4" s="4" t="str">
        <f>IF($D4="","",SUMIFS(Weights!$H:$H,Weights!$C:$C,$F4))</f>
        <v/>
      </c>
      <c r="J4" s="4" t="str">
        <f>IF($D4="","",SUMIFS(Weights!$I:$I,Weights!$C:$C,$F4))</f>
        <v/>
      </c>
      <c r="K4" s="4" t="str">
        <f>IF($D4="","",SUMIFS(Weights!$J:$J,Weights!$C:$C,$F4))</f>
        <v/>
      </c>
      <c r="L4" s="4" t="str">
        <f>IF($D4="","",SUMIFS(Weights!$K:$K,Weights!$C:$C,$F4))</f>
        <v/>
      </c>
      <c r="M4" s="4" t="str">
        <f>IF($D4="","",SUMIFS(Weights!$L:$L,Weights!$C:$C,$F4))</f>
        <v/>
      </c>
      <c r="N4" s="4" t="str">
        <f>IF($D4="","",SUMIFS(Weights!$M:$M,Weights!$C:$C,$F4))</f>
        <v/>
      </c>
      <c r="O4" s="4" t="str">
        <f>IF($D4="","",SUMIFS(Weights!$N:$N,Weights!$C:$C,$F4))</f>
        <v/>
      </c>
      <c r="P4" s="4" t="str">
        <f>IF($D4="","",SUMIFS(Weights!$O:$O,Weights!$C:$C,$F4))</f>
        <v/>
      </c>
      <c r="Q4" s="4" t="str">
        <f>IF($D4="","",SUMIFS(Weights!$P:$P,Weights!$C:$C,$F4))</f>
        <v/>
      </c>
      <c r="R4" s="4" t="str">
        <f>IF($D4="","",SUMIFS(Weights!$Q:$Q,Weights!$C:$C,$F4))</f>
        <v/>
      </c>
      <c r="S4" s="4" t="str">
        <f>IF($D4="","",SUMIFS(Weights!$R:$R,Weights!$C:$C,$F4))</f>
        <v/>
      </c>
      <c r="T4" s="4" t="str">
        <f>IF($D4="","",SUMIFS(Weights!$S:$S,Weights!$C:$C,$F4))</f>
        <v/>
      </c>
      <c r="U4" s="4" t="str">
        <f>IF($D4="","",SUMIFS(Weights!$T:$T,Weights!$C:$C,$F4))</f>
        <v/>
      </c>
      <c r="V4" s="4" t="str">
        <f>IF($D4="","",SUMIFS(Weights!$U:$U,Weights!$C:$C,$F4))</f>
        <v/>
      </c>
      <c r="W4" s="4" t="str">
        <f>IF($D4="","",SUMIFS(Weights!$V:$V,Weights!$C:$C,$F4))</f>
        <v/>
      </c>
      <c r="X4" s="4" t="str">
        <f>IF($D4="","",SUMIFS(Weights!$W:$W,Weights!$C:$C,$F4))</f>
        <v/>
      </c>
      <c r="Y4" s="4" t="str">
        <f>IF($D4="","",SUMIFS(Weights!$X:$X,Weights!$C:$C,$F4))</f>
        <v/>
      </c>
      <c r="Z4" s="4" t="str">
        <f>IF($D4="","",SUMIFS(Weights!$Y:$Y,Weights!$C:$C,$F4))</f>
        <v/>
      </c>
      <c r="AA4" s="4" t="str">
        <f>IF($D4="","",SUMIFS(Weights!$Z:$Z,Weights!$C:$C,$F4))</f>
        <v/>
      </c>
      <c r="AB4" s="4" t="str">
        <f>IF($D4="","",SUMIFS(Weights!$AA:$AA,Weights!$C:$C,$F4))</f>
        <v/>
      </c>
      <c r="AC4" s="4" t="str">
        <f>IF($D4="","",SUMIFS(Weights!$AB:$AB,Weights!$C:$C,$F4))</f>
        <v/>
      </c>
      <c r="AD4" s="4" t="str">
        <f>IF($D4="","",SUMIFS(Weights!$AC:$AC,Weights!$C:$C,$F4))</f>
        <v/>
      </c>
      <c r="AE4" s="4" t="str">
        <f>IF($D4="","",SUMIFS(Weights!$AD:$AD,Weights!$C:$C,$F4))</f>
        <v/>
      </c>
      <c r="AF4" s="4" t="str">
        <f>IF($D4="","",SUMIFS(Weights!$AE:$AE,Weights!$C:$C,$F4))</f>
        <v/>
      </c>
      <c r="AG4" s="4" t="str">
        <f>IF($D4="","",SUMIFS(Weights!$AF:$AF,Weights!$C:$C,$F4))</f>
        <v/>
      </c>
      <c r="AH4" s="4" t="str">
        <f>IF($D4="","",SUMIFS(Weights!$AG:$AG,Weights!$C:$C,$F4))</f>
        <v/>
      </c>
      <c r="AI4" s="4" t="str">
        <f>IF($D4="","",SUMIFS(Weights!$AH:$AH,Weights!$C:$C,$F4))</f>
        <v/>
      </c>
      <c r="AJ4" s="4" t="str">
        <f>IF($D4="","",SUMIFS(Weights!$AI:$AI,Weights!$C:$C,$F4))</f>
        <v/>
      </c>
      <c r="AK4" s="4" t="str">
        <f>IF($D4="","",SUMIFS(Weights!$AJ:$AJ,Weights!$C:$C,$F4))</f>
        <v/>
      </c>
      <c r="AL4" s="4" t="str">
        <f>IF($D4="","",SUMIFS(Weights!$AK:$AK,Weights!$C:$C,$F4))</f>
        <v/>
      </c>
      <c r="AM4" s="4" t="str">
        <f>IF($D4="","",SUMIFS(Weights!$AL:$AL,Weights!$C:$C,$F4))</f>
        <v/>
      </c>
    </row>
    <row r="5" spans="1:39" x14ac:dyDescent="0.25">
      <c r="A5" s="4">
        <v>4</v>
      </c>
      <c r="B5" s="4" t="s">
        <v>16</v>
      </c>
      <c r="C5" s="4" t="s">
        <v>32</v>
      </c>
      <c r="D5" s="5" t="s">
        <v>878</v>
      </c>
      <c r="E5" s="4" t="str">
        <f>IF(D5="","",INDEX(Questions!$D$2:$G$81,MATCH(A5,Questions!$A$2:$A$81,0),MATCH(D5,{"A","B","C","D"},0)))</f>
        <v/>
      </c>
      <c r="F5" s="4" t="str">
        <f t="shared" si="0"/>
        <v>4|</v>
      </c>
      <c r="G5" s="4" t="str">
        <f>IF($D5="","",SUMIFS(Weights!$F:$F,Weights!$C:$C,$F5))</f>
        <v/>
      </c>
      <c r="H5" s="4" t="str">
        <f>IF($D5="","",SUMIFS(Weights!$G:$G,Weights!$C:$C,$F5))</f>
        <v/>
      </c>
      <c r="I5" s="4" t="str">
        <f>IF($D5="","",SUMIFS(Weights!$H:$H,Weights!$C:$C,$F5))</f>
        <v/>
      </c>
      <c r="J5" s="4" t="str">
        <f>IF($D5="","",SUMIFS(Weights!$I:$I,Weights!$C:$C,$F5))</f>
        <v/>
      </c>
      <c r="K5" s="4" t="str">
        <f>IF($D5="","",SUMIFS(Weights!$J:$J,Weights!$C:$C,$F5))</f>
        <v/>
      </c>
      <c r="L5" s="4" t="str">
        <f>IF($D5="","",SUMIFS(Weights!$K:$K,Weights!$C:$C,$F5))</f>
        <v/>
      </c>
      <c r="M5" s="4" t="str">
        <f>IF($D5="","",SUMIFS(Weights!$L:$L,Weights!$C:$C,$F5))</f>
        <v/>
      </c>
      <c r="N5" s="4" t="str">
        <f>IF($D5="","",SUMIFS(Weights!$M:$M,Weights!$C:$C,$F5))</f>
        <v/>
      </c>
      <c r="O5" s="4" t="str">
        <f>IF($D5="","",SUMIFS(Weights!$N:$N,Weights!$C:$C,$F5))</f>
        <v/>
      </c>
      <c r="P5" s="4" t="str">
        <f>IF($D5="","",SUMIFS(Weights!$O:$O,Weights!$C:$C,$F5))</f>
        <v/>
      </c>
      <c r="Q5" s="4" t="str">
        <f>IF($D5="","",SUMIFS(Weights!$P:$P,Weights!$C:$C,$F5))</f>
        <v/>
      </c>
      <c r="R5" s="4" t="str">
        <f>IF($D5="","",SUMIFS(Weights!$Q:$Q,Weights!$C:$C,$F5))</f>
        <v/>
      </c>
      <c r="S5" s="4" t="str">
        <f>IF($D5="","",SUMIFS(Weights!$R:$R,Weights!$C:$C,$F5))</f>
        <v/>
      </c>
      <c r="T5" s="4" t="str">
        <f>IF($D5="","",SUMIFS(Weights!$S:$S,Weights!$C:$C,$F5))</f>
        <v/>
      </c>
      <c r="U5" s="4" t="str">
        <f>IF($D5="","",SUMIFS(Weights!$T:$T,Weights!$C:$C,$F5))</f>
        <v/>
      </c>
      <c r="V5" s="4" t="str">
        <f>IF($D5="","",SUMIFS(Weights!$U:$U,Weights!$C:$C,$F5))</f>
        <v/>
      </c>
      <c r="W5" s="4" t="str">
        <f>IF($D5="","",SUMIFS(Weights!$V:$V,Weights!$C:$C,$F5))</f>
        <v/>
      </c>
      <c r="X5" s="4" t="str">
        <f>IF($D5="","",SUMIFS(Weights!$W:$W,Weights!$C:$C,$F5))</f>
        <v/>
      </c>
      <c r="Y5" s="4" t="str">
        <f>IF($D5="","",SUMIFS(Weights!$X:$X,Weights!$C:$C,$F5))</f>
        <v/>
      </c>
      <c r="Z5" s="4" t="str">
        <f>IF($D5="","",SUMIFS(Weights!$Y:$Y,Weights!$C:$C,$F5))</f>
        <v/>
      </c>
      <c r="AA5" s="4" t="str">
        <f>IF($D5="","",SUMIFS(Weights!$Z:$Z,Weights!$C:$C,$F5))</f>
        <v/>
      </c>
      <c r="AB5" s="4" t="str">
        <f>IF($D5="","",SUMIFS(Weights!$AA:$AA,Weights!$C:$C,$F5))</f>
        <v/>
      </c>
      <c r="AC5" s="4" t="str">
        <f>IF($D5="","",SUMIFS(Weights!$AB:$AB,Weights!$C:$C,$F5))</f>
        <v/>
      </c>
      <c r="AD5" s="4" t="str">
        <f>IF($D5="","",SUMIFS(Weights!$AC:$AC,Weights!$C:$C,$F5))</f>
        <v/>
      </c>
      <c r="AE5" s="4" t="str">
        <f>IF($D5="","",SUMIFS(Weights!$AD:$AD,Weights!$C:$C,$F5))</f>
        <v/>
      </c>
      <c r="AF5" s="4" t="str">
        <f>IF($D5="","",SUMIFS(Weights!$AE:$AE,Weights!$C:$C,$F5))</f>
        <v/>
      </c>
      <c r="AG5" s="4" t="str">
        <f>IF($D5="","",SUMIFS(Weights!$AF:$AF,Weights!$C:$C,$F5))</f>
        <v/>
      </c>
      <c r="AH5" s="4" t="str">
        <f>IF($D5="","",SUMIFS(Weights!$AG:$AG,Weights!$C:$C,$F5))</f>
        <v/>
      </c>
      <c r="AI5" s="4" t="str">
        <f>IF($D5="","",SUMIFS(Weights!$AH:$AH,Weights!$C:$C,$F5))</f>
        <v/>
      </c>
      <c r="AJ5" s="4" t="str">
        <f>IF($D5="","",SUMIFS(Weights!$AI:$AI,Weights!$C:$C,$F5))</f>
        <v/>
      </c>
      <c r="AK5" s="4" t="str">
        <f>IF($D5="","",SUMIFS(Weights!$AJ:$AJ,Weights!$C:$C,$F5))</f>
        <v/>
      </c>
      <c r="AL5" s="4" t="str">
        <f>IF($D5="","",SUMIFS(Weights!$AK:$AK,Weights!$C:$C,$F5))</f>
        <v/>
      </c>
      <c r="AM5" s="4" t="str">
        <f>IF($D5="","",SUMIFS(Weights!$AL:$AL,Weights!$C:$C,$F5))</f>
        <v/>
      </c>
    </row>
    <row r="6" spans="1:39" x14ac:dyDescent="0.25">
      <c r="A6" s="4">
        <v>5</v>
      </c>
      <c r="B6" s="4" t="s">
        <v>16</v>
      </c>
      <c r="C6" s="4" t="s">
        <v>37</v>
      </c>
      <c r="D6" s="5" t="s">
        <v>878</v>
      </c>
      <c r="E6" s="4" t="str">
        <f>IF(D6="","",INDEX(Questions!$D$2:$G$81,MATCH(A6,Questions!$A$2:$A$81,0),MATCH(D6,{"A","B","C","D"},0)))</f>
        <v/>
      </c>
      <c r="F6" s="4" t="str">
        <f t="shared" si="0"/>
        <v>5|</v>
      </c>
      <c r="G6" s="4" t="str">
        <f>IF($D6="","",SUMIFS(Weights!$F:$F,Weights!$C:$C,$F6))</f>
        <v/>
      </c>
      <c r="H6" s="4" t="str">
        <f>IF($D6="","",SUMIFS(Weights!$G:$G,Weights!$C:$C,$F6))</f>
        <v/>
      </c>
      <c r="I6" s="4" t="str">
        <f>IF($D6="","",SUMIFS(Weights!$H:$H,Weights!$C:$C,$F6))</f>
        <v/>
      </c>
      <c r="J6" s="4" t="str">
        <f>IF($D6="","",SUMIFS(Weights!$I:$I,Weights!$C:$C,$F6))</f>
        <v/>
      </c>
      <c r="K6" s="4" t="str">
        <f>IF($D6="","",SUMIFS(Weights!$J:$J,Weights!$C:$C,$F6))</f>
        <v/>
      </c>
      <c r="L6" s="4" t="str">
        <f>IF($D6="","",SUMIFS(Weights!$K:$K,Weights!$C:$C,$F6))</f>
        <v/>
      </c>
      <c r="M6" s="4" t="str">
        <f>IF($D6="","",SUMIFS(Weights!$L:$L,Weights!$C:$C,$F6))</f>
        <v/>
      </c>
      <c r="N6" s="4" t="str">
        <f>IF($D6="","",SUMIFS(Weights!$M:$M,Weights!$C:$C,$F6))</f>
        <v/>
      </c>
      <c r="O6" s="4" t="str">
        <f>IF($D6="","",SUMIFS(Weights!$N:$N,Weights!$C:$C,$F6))</f>
        <v/>
      </c>
      <c r="P6" s="4" t="str">
        <f>IF($D6="","",SUMIFS(Weights!$O:$O,Weights!$C:$C,$F6))</f>
        <v/>
      </c>
      <c r="Q6" s="4" t="str">
        <f>IF($D6="","",SUMIFS(Weights!$P:$P,Weights!$C:$C,$F6))</f>
        <v/>
      </c>
      <c r="R6" s="4" t="str">
        <f>IF($D6="","",SUMIFS(Weights!$Q:$Q,Weights!$C:$C,$F6))</f>
        <v/>
      </c>
      <c r="S6" s="4" t="str">
        <f>IF($D6="","",SUMIFS(Weights!$R:$R,Weights!$C:$C,$F6))</f>
        <v/>
      </c>
      <c r="T6" s="4" t="str">
        <f>IF($D6="","",SUMIFS(Weights!$S:$S,Weights!$C:$C,$F6))</f>
        <v/>
      </c>
      <c r="U6" s="4" t="str">
        <f>IF($D6="","",SUMIFS(Weights!$T:$T,Weights!$C:$C,$F6))</f>
        <v/>
      </c>
      <c r="V6" s="4" t="str">
        <f>IF($D6="","",SUMIFS(Weights!$U:$U,Weights!$C:$C,$F6))</f>
        <v/>
      </c>
      <c r="W6" s="4" t="str">
        <f>IF($D6="","",SUMIFS(Weights!$V:$V,Weights!$C:$C,$F6))</f>
        <v/>
      </c>
      <c r="X6" s="4" t="str">
        <f>IF($D6="","",SUMIFS(Weights!$W:$W,Weights!$C:$C,$F6))</f>
        <v/>
      </c>
      <c r="Y6" s="4" t="str">
        <f>IF($D6="","",SUMIFS(Weights!$X:$X,Weights!$C:$C,$F6))</f>
        <v/>
      </c>
      <c r="Z6" s="4" t="str">
        <f>IF($D6="","",SUMIFS(Weights!$Y:$Y,Weights!$C:$C,$F6))</f>
        <v/>
      </c>
      <c r="AA6" s="4" t="str">
        <f>IF($D6="","",SUMIFS(Weights!$Z:$Z,Weights!$C:$C,$F6))</f>
        <v/>
      </c>
      <c r="AB6" s="4" t="str">
        <f>IF($D6="","",SUMIFS(Weights!$AA:$AA,Weights!$C:$C,$F6))</f>
        <v/>
      </c>
      <c r="AC6" s="4" t="str">
        <f>IF($D6="","",SUMIFS(Weights!$AB:$AB,Weights!$C:$C,$F6))</f>
        <v/>
      </c>
      <c r="AD6" s="4" t="str">
        <f>IF($D6="","",SUMIFS(Weights!$AC:$AC,Weights!$C:$C,$F6))</f>
        <v/>
      </c>
      <c r="AE6" s="4" t="str">
        <f>IF($D6="","",SUMIFS(Weights!$AD:$AD,Weights!$C:$C,$F6))</f>
        <v/>
      </c>
      <c r="AF6" s="4" t="str">
        <f>IF($D6="","",SUMIFS(Weights!$AE:$AE,Weights!$C:$C,$F6))</f>
        <v/>
      </c>
      <c r="AG6" s="4" t="str">
        <f>IF($D6="","",SUMIFS(Weights!$AF:$AF,Weights!$C:$C,$F6))</f>
        <v/>
      </c>
      <c r="AH6" s="4" t="str">
        <f>IF($D6="","",SUMIFS(Weights!$AG:$AG,Weights!$C:$C,$F6))</f>
        <v/>
      </c>
      <c r="AI6" s="4" t="str">
        <f>IF($D6="","",SUMIFS(Weights!$AH:$AH,Weights!$C:$C,$F6))</f>
        <v/>
      </c>
      <c r="AJ6" s="4" t="str">
        <f>IF($D6="","",SUMIFS(Weights!$AI:$AI,Weights!$C:$C,$F6))</f>
        <v/>
      </c>
      <c r="AK6" s="4" t="str">
        <f>IF($D6="","",SUMIFS(Weights!$AJ:$AJ,Weights!$C:$C,$F6))</f>
        <v/>
      </c>
      <c r="AL6" s="4" t="str">
        <f>IF($D6="","",SUMIFS(Weights!$AK:$AK,Weights!$C:$C,$F6))</f>
        <v/>
      </c>
      <c r="AM6" s="4" t="str">
        <f>IF($D6="","",SUMIFS(Weights!$AL:$AL,Weights!$C:$C,$F6))</f>
        <v/>
      </c>
    </row>
    <row r="7" spans="1:39" x14ac:dyDescent="0.25">
      <c r="A7" s="4">
        <v>6</v>
      </c>
      <c r="B7" s="4" t="s">
        <v>16</v>
      </c>
      <c r="C7" s="4" t="s">
        <v>42</v>
      </c>
      <c r="D7" s="5" t="s">
        <v>878</v>
      </c>
      <c r="E7" s="4" t="str">
        <f>IF(D7="","",INDEX(Questions!$D$2:$G$81,MATCH(A7,Questions!$A$2:$A$81,0),MATCH(D7,{"A","B","C","D"},0)))</f>
        <v/>
      </c>
      <c r="F7" s="4" t="str">
        <f t="shared" si="0"/>
        <v>6|</v>
      </c>
      <c r="G7" s="4" t="str">
        <f>IF($D7="","",SUMIFS(Weights!$F:$F,Weights!$C:$C,$F7))</f>
        <v/>
      </c>
      <c r="H7" s="4" t="str">
        <f>IF($D7="","",SUMIFS(Weights!$G:$G,Weights!$C:$C,$F7))</f>
        <v/>
      </c>
      <c r="I7" s="4" t="str">
        <f>IF($D7="","",SUMIFS(Weights!$H:$H,Weights!$C:$C,$F7))</f>
        <v/>
      </c>
      <c r="J7" s="4" t="str">
        <f>IF($D7="","",SUMIFS(Weights!$I:$I,Weights!$C:$C,$F7))</f>
        <v/>
      </c>
      <c r="K7" s="4" t="str">
        <f>IF($D7="","",SUMIFS(Weights!$J:$J,Weights!$C:$C,$F7))</f>
        <v/>
      </c>
      <c r="L7" s="4" t="str">
        <f>IF($D7="","",SUMIFS(Weights!$K:$K,Weights!$C:$C,$F7))</f>
        <v/>
      </c>
      <c r="M7" s="4" t="str">
        <f>IF($D7="","",SUMIFS(Weights!$L:$L,Weights!$C:$C,$F7))</f>
        <v/>
      </c>
      <c r="N7" s="4" t="str">
        <f>IF($D7="","",SUMIFS(Weights!$M:$M,Weights!$C:$C,$F7))</f>
        <v/>
      </c>
      <c r="O7" s="4" t="str">
        <f>IF($D7="","",SUMIFS(Weights!$N:$N,Weights!$C:$C,$F7))</f>
        <v/>
      </c>
      <c r="P7" s="4" t="str">
        <f>IF($D7="","",SUMIFS(Weights!$O:$O,Weights!$C:$C,$F7))</f>
        <v/>
      </c>
      <c r="Q7" s="4" t="str">
        <f>IF($D7="","",SUMIFS(Weights!$P:$P,Weights!$C:$C,$F7))</f>
        <v/>
      </c>
      <c r="R7" s="4" t="str">
        <f>IF($D7="","",SUMIFS(Weights!$Q:$Q,Weights!$C:$C,$F7))</f>
        <v/>
      </c>
      <c r="S7" s="4" t="str">
        <f>IF($D7="","",SUMIFS(Weights!$R:$R,Weights!$C:$C,$F7))</f>
        <v/>
      </c>
      <c r="T7" s="4" t="str">
        <f>IF($D7="","",SUMIFS(Weights!$S:$S,Weights!$C:$C,$F7))</f>
        <v/>
      </c>
      <c r="U7" s="4" t="str">
        <f>IF($D7="","",SUMIFS(Weights!$T:$T,Weights!$C:$C,$F7))</f>
        <v/>
      </c>
      <c r="V7" s="4" t="str">
        <f>IF($D7="","",SUMIFS(Weights!$U:$U,Weights!$C:$C,$F7))</f>
        <v/>
      </c>
      <c r="W7" s="4" t="str">
        <f>IF($D7="","",SUMIFS(Weights!$V:$V,Weights!$C:$C,$F7))</f>
        <v/>
      </c>
      <c r="X7" s="4" t="str">
        <f>IF($D7="","",SUMIFS(Weights!$W:$W,Weights!$C:$C,$F7))</f>
        <v/>
      </c>
      <c r="Y7" s="4" t="str">
        <f>IF($D7="","",SUMIFS(Weights!$X:$X,Weights!$C:$C,$F7))</f>
        <v/>
      </c>
      <c r="Z7" s="4" t="str">
        <f>IF($D7="","",SUMIFS(Weights!$Y:$Y,Weights!$C:$C,$F7))</f>
        <v/>
      </c>
      <c r="AA7" s="4" t="str">
        <f>IF($D7="","",SUMIFS(Weights!$Z:$Z,Weights!$C:$C,$F7))</f>
        <v/>
      </c>
      <c r="AB7" s="4" t="str">
        <f>IF($D7="","",SUMIFS(Weights!$AA:$AA,Weights!$C:$C,$F7))</f>
        <v/>
      </c>
      <c r="AC7" s="4" t="str">
        <f>IF($D7="","",SUMIFS(Weights!$AB:$AB,Weights!$C:$C,$F7))</f>
        <v/>
      </c>
      <c r="AD7" s="4" t="str">
        <f>IF($D7="","",SUMIFS(Weights!$AC:$AC,Weights!$C:$C,$F7))</f>
        <v/>
      </c>
      <c r="AE7" s="4" t="str">
        <f>IF($D7="","",SUMIFS(Weights!$AD:$AD,Weights!$C:$C,$F7))</f>
        <v/>
      </c>
      <c r="AF7" s="4" t="str">
        <f>IF($D7="","",SUMIFS(Weights!$AE:$AE,Weights!$C:$C,$F7))</f>
        <v/>
      </c>
      <c r="AG7" s="4" t="str">
        <f>IF($D7="","",SUMIFS(Weights!$AF:$AF,Weights!$C:$C,$F7))</f>
        <v/>
      </c>
      <c r="AH7" s="4" t="str">
        <f>IF($D7="","",SUMIFS(Weights!$AG:$AG,Weights!$C:$C,$F7))</f>
        <v/>
      </c>
      <c r="AI7" s="4" t="str">
        <f>IF($D7="","",SUMIFS(Weights!$AH:$AH,Weights!$C:$C,$F7))</f>
        <v/>
      </c>
      <c r="AJ7" s="4" t="str">
        <f>IF($D7="","",SUMIFS(Weights!$AI:$AI,Weights!$C:$C,$F7))</f>
        <v/>
      </c>
      <c r="AK7" s="4" t="str">
        <f>IF($D7="","",SUMIFS(Weights!$AJ:$AJ,Weights!$C:$C,$F7))</f>
        <v/>
      </c>
      <c r="AL7" s="4" t="str">
        <f>IF($D7="","",SUMIFS(Weights!$AK:$AK,Weights!$C:$C,$F7))</f>
        <v/>
      </c>
      <c r="AM7" s="4" t="str">
        <f>IF($D7="","",SUMIFS(Weights!$AL:$AL,Weights!$C:$C,$F7))</f>
        <v/>
      </c>
    </row>
    <row r="8" spans="1:39" x14ac:dyDescent="0.25">
      <c r="A8" s="4">
        <v>7</v>
      </c>
      <c r="B8" s="4" t="s">
        <v>16</v>
      </c>
      <c r="C8" s="4" t="s">
        <v>47</v>
      </c>
      <c r="D8" s="5" t="s">
        <v>878</v>
      </c>
      <c r="E8" s="4" t="str">
        <f>IF(D8="","",INDEX(Questions!$D$2:$G$81,MATCH(A8,Questions!$A$2:$A$81,0),MATCH(D8,{"A","B","C","D"},0)))</f>
        <v/>
      </c>
      <c r="F8" s="4" t="str">
        <f t="shared" si="0"/>
        <v>7|</v>
      </c>
      <c r="G8" s="4" t="str">
        <f>IF($D8="","",SUMIFS(Weights!$F:$F,Weights!$C:$C,$F8))</f>
        <v/>
      </c>
      <c r="H8" s="4" t="str">
        <f>IF($D8="","",SUMIFS(Weights!$G:$G,Weights!$C:$C,$F8))</f>
        <v/>
      </c>
      <c r="I8" s="4" t="str">
        <f>IF($D8="","",SUMIFS(Weights!$H:$H,Weights!$C:$C,$F8))</f>
        <v/>
      </c>
      <c r="J8" s="4" t="str">
        <f>IF($D8="","",SUMIFS(Weights!$I:$I,Weights!$C:$C,$F8))</f>
        <v/>
      </c>
      <c r="K8" s="4" t="str">
        <f>IF($D8="","",SUMIFS(Weights!$J:$J,Weights!$C:$C,$F8))</f>
        <v/>
      </c>
      <c r="L8" s="4" t="str">
        <f>IF($D8="","",SUMIFS(Weights!$K:$K,Weights!$C:$C,$F8))</f>
        <v/>
      </c>
      <c r="M8" s="4" t="str">
        <f>IF($D8="","",SUMIFS(Weights!$L:$L,Weights!$C:$C,$F8))</f>
        <v/>
      </c>
      <c r="N8" s="4" t="str">
        <f>IF($D8="","",SUMIFS(Weights!$M:$M,Weights!$C:$C,$F8))</f>
        <v/>
      </c>
      <c r="O8" s="4" t="str">
        <f>IF($D8="","",SUMIFS(Weights!$N:$N,Weights!$C:$C,$F8))</f>
        <v/>
      </c>
      <c r="P8" s="4" t="str">
        <f>IF($D8="","",SUMIFS(Weights!$O:$O,Weights!$C:$C,$F8))</f>
        <v/>
      </c>
      <c r="Q8" s="4" t="str">
        <f>IF($D8="","",SUMIFS(Weights!$P:$P,Weights!$C:$C,$F8))</f>
        <v/>
      </c>
      <c r="R8" s="4" t="str">
        <f>IF($D8="","",SUMIFS(Weights!$Q:$Q,Weights!$C:$C,$F8))</f>
        <v/>
      </c>
      <c r="S8" s="4" t="str">
        <f>IF($D8="","",SUMIFS(Weights!$R:$R,Weights!$C:$C,$F8))</f>
        <v/>
      </c>
      <c r="T8" s="4" t="str">
        <f>IF($D8="","",SUMIFS(Weights!$S:$S,Weights!$C:$C,$F8))</f>
        <v/>
      </c>
      <c r="U8" s="4" t="str">
        <f>IF($D8="","",SUMIFS(Weights!$T:$T,Weights!$C:$C,$F8))</f>
        <v/>
      </c>
      <c r="V8" s="4" t="str">
        <f>IF($D8="","",SUMIFS(Weights!$U:$U,Weights!$C:$C,$F8))</f>
        <v/>
      </c>
      <c r="W8" s="4" t="str">
        <f>IF($D8="","",SUMIFS(Weights!$V:$V,Weights!$C:$C,$F8))</f>
        <v/>
      </c>
      <c r="X8" s="4" t="str">
        <f>IF($D8="","",SUMIFS(Weights!$W:$W,Weights!$C:$C,$F8))</f>
        <v/>
      </c>
      <c r="Y8" s="4" t="str">
        <f>IF($D8="","",SUMIFS(Weights!$X:$X,Weights!$C:$C,$F8))</f>
        <v/>
      </c>
      <c r="Z8" s="4" t="str">
        <f>IF($D8="","",SUMIFS(Weights!$Y:$Y,Weights!$C:$C,$F8))</f>
        <v/>
      </c>
      <c r="AA8" s="4" t="str">
        <f>IF($D8="","",SUMIFS(Weights!$Z:$Z,Weights!$C:$C,$F8))</f>
        <v/>
      </c>
      <c r="AB8" s="4" t="str">
        <f>IF($D8="","",SUMIFS(Weights!$AA:$AA,Weights!$C:$C,$F8))</f>
        <v/>
      </c>
      <c r="AC8" s="4" t="str">
        <f>IF($D8="","",SUMIFS(Weights!$AB:$AB,Weights!$C:$C,$F8))</f>
        <v/>
      </c>
      <c r="AD8" s="4" t="str">
        <f>IF($D8="","",SUMIFS(Weights!$AC:$AC,Weights!$C:$C,$F8))</f>
        <v/>
      </c>
      <c r="AE8" s="4" t="str">
        <f>IF($D8="","",SUMIFS(Weights!$AD:$AD,Weights!$C:$C,$F8))</f>
        <v/>
      </c>
      <c r="AF8" s="4" t="str">
        <f>IF($D8="","",SUMIFS(Weights!$AE:$AE,Weights!$C:$C,$F8))</f>
        <v/>
      </c>
      <c r="AG8" s="4" t="str">
        <f>IF($D8="","",SUMIFS(Weights!$AF:$AF,Weights!$C:$C,$F8))</f>
        <v/>
      </c>
      <c r="AH8" s="4" t="str">
        <f>IF($D8="","",SUMIFS(Weights!$AG:$AG,Weights!$C:$C,$F8))</f>
        <v/>
      </c>
      <c r="AI8" s="4" t="str">
        <f>IF($D8="","",SUMIFS(Weights!$AH:$AH,Weights!$C:$C,$F8))</f>
        <v/>
      </c>
      <c r="AJ8" s="4" t="str">
        <f>IF($D8="","",SUMIFS(Weights!$AI:$AI,Weights!$C:$C,$F8))</f>
        <v/>
      </c>
      <c r="AK8" s="4" t="str">
        <f>IF($D8="","",SUMIFS(Weights!$AJ:$AJ,Weights!$C:$C,$F8))</f>
        <v/>
      </c>
      <c r="AL8" s="4" t="str">
        <f>IF($D8="","",SUMIFS(Weights!$AK:$AK,Weights!$C:$C,$F8))</f>
        <v/>
      </c>
      <c r="AM8" s="4" t="str">
        <f>IF($D8="","",SUMIFS(Weights!$AL:$AL,Weights!$C:$C,$F8))</f>
        <v/>
      </c>
    </row>
    <row r="9" spans="1:39" x14ac:dyDescent="0.25">
      <c r="A9" s="4">
        <v>8</v>
      </c>
      <c r="B9" s="4" t="s">
        <v>16</v>
      </c>
      <c r="C9" s="4" t="s">
        <v>52</v>
      </c>
      <c r="D9" s="5" t="s">
        <v>878</v>
      </c>
      <c r="E9" s="4" t="str">
        <f>IF(D9="","",INDEX(Questions!$D$2:$G$81,MATCH(A9,Questions!$A$2:$A$81,0),MATCH(D9,{"A","B","C","D"},0)))</f>
        <v/>
      </c>
      <c r="F9" s="4" t="str">
        <f t="shared" si="0"/>
        <v>8|</v>
      </c>
      <c r="G9" s="4" t="str">
        <f>IF($D9="","",SUMIFS(Weights!$F:$F,Weights!$C:$C,$F9))</f>
        <v/>
      </c>
      <c r="H9" s="4" t="str">
        <f>IF($D9="","",SUMIFS(Weights!$G:$G,Weights!$C:$C,$F9))</f>
        <v/>
      </c>
      <c r="I9" s="4" t="str">
        <f>IF($D9="","",SUMIFS(Weights!$H:$H,Weights!$C:$C,$F9))</f>
        <v/>
      </c>
      <c r="J9" s="4" t="str">
        <f>IF($D9="","",SUMIFS(Weights!$I:$I,Weights!$C:$C,$F9))</f>
        <v/>
      </c>
      <c r="K9" s="4" t="str">
        <f>IF($D9="","",SUMIFS(Weights!$J:$J,Weights!$C:$C,$F9))</f>
        <v/>
      </c>
      <c r="L9" s="4" t="str">
        <f>IF($D9="","",SUMIFS(Weights!$K:$K,Weights!$C:$C,$F9))</f>
        <v/>
      </c>
      <c r="M9" s="4" t="str">
        <f>IF($D9="","",SUMIFS(Weights!$L:$L,Weights!$C:$C,$F9))</f>
        <v/>
      </c>
      <c r="N9" s="4" t="str">
        <f>IF($D9="","",SUMIFS(Weights!$M:$M,Weights!$C:$C,$F9))</f>
        <v/>
      </c>
      <c r="O9" s="4" t="str">
        <f>IF($D9="","",SUMIFS(Weights!$N:$N,Weights!$C:$C,$F9))</f>
        <v/>
      </c>
      <c r="P9" s="4" t="str">
        <f>IF($D9="","",SUMIFS(Weights!$O:$O,Weights!$C:$C,$F9))</f>
        <v/>
      </c>
      <c r="Q9" s="4" t="str">
        <f>IF($D9="","",SUMIFS(Weights!$P:$P,Weights!$C:$C,$F9))</f>
        <v/>
      </c>
      <c r="R9" s="4" t="str">
        <f>IF($D9="","",SUMIFS(Weights!$Q:$Q,Weights!$C:$C,$F9))</f>
        <v/>
      </c>
      <c r="S9" s="4" t="str">
        <f>IF($D9="","",SUMIFS(Weights!$R:$R,Weights!$C:$C,$F9))</f>
        <v/>
      </c>
      <c r="T9" s="4" t="str">
        <f>IF($D9="","",SUMIFS(Weights!$S:$S,Weights!$C:$C,$F9))</f>
        <v/>
      </c>
      <c r="U9" s="4" t="str">
        <f>IF($D9="","",SUMIFS(Weights!$T:$T,Weights!$C:$C,$F9))</f>
        <v/>
      </c>
      <c r="V9" s="4" t="str">
        <f>IF($D9="","",SUMIFS(Weights!$U:$U,Weights!$C:$C,$F9))</f>
        <v/>
      </c>
      <c r="W9" s="4" t="str">
        <f>IF($D9="","",SUMIFS(Weights!$V:$V,Weights!$C:$C,$F9))</f>
        <v/>
      </c>
      <c r="X9" s="4" t="str">
        <f>IF($D9="","",SUMIFS(Weights!$W:$W,Weights!$C:$C,$F9))</f>
        <v/>
      </c>
      <c r="Y9" s="4" t="str">
        <f>IF($D9="","",SUMIFS(Weights!$X:$X,Weights!$C:$C,$F9))</f>
        <v/>
      </c>
      <c r="Z9" s="4" t="str">
        <f>IF($D9="","",SUMIFS(Weights!$Y:$Y,Weights!$C:$C,$F9))</f>
        <v/>
      </c>
      <c r="AA9" s="4" t="str">
        <f>IF($D9="","",SUMIFS(Weights!$Z:$Z,Weights!$C:$C,$F9))</f>
        <v/>
      </c>
      <c r="AB9" s="4" t="str">
        <f>IF($D9="","",SUMIFS(Weights!$AA:$AA,Weights!$C:$C,$F9))</f>
        <v/>
      </c>
      <c r="AC9" s="4" t="str">
        <f>IF($D9="","",SUMIFS(Weights!$AB:$AB,Weights!$C:$C,$F9))</f>
        <v/>
      </c>
      <c r="AD9" s="4" t="str">
        <f>IF($D9="","",SUMIFS(Weights!$AC:$AC,Weights!$C:$C,$F9))</f>
        <v/>
      </c>
      <c r="AE9" s="4" t="str">
        <f>IF($D9="","",SUMIFS(Weights!$AD:$AD,Weights!$C:$C,$F9))</f>
        <v/>
      </c>
      <c r="AF9" s="4" t="str">
        <f>IF($D9="","",SUMIFS(Weights!$AE:$AE,Weights!$C:$C,$F9))</f>
        <v/>
      </c>
      <c r="AG9" s="4" t="str">
        <f>IF($D9="","",SUMIFS(Weights!$AF:$AF,Weights!$C:$C,$F9))</f>
        <v/>
      </c>
      <c r="AH9" s="4" t="str">
        <f>IF($D9="","",SUMIFS(Weights!$AG:$AG,Weights!$C:$C,$F9))</f>
        <v/>
      </c>
      <c r="AI9" s="4" t="str">
        <f>IF($D9="","",SUMIFS(Weights!$AH:$AH,Weights!$C:$C,$F9))</f>
        <v/>
      </c>
      <c r="AJ9" s="4" t="str">
        <f>IF($D9="","",SUMIFS(Weights!$AI:$AI,Weights!$C:$C,$F9))</f>
        <v/>
      </c>
      <c r="AK9" s="4" t="str">
        <f>IF($D9="","",SUMIFS(Weights!$AJ:$AJ,Weights!$C:$C,$F9))</f>
        <v/>
      </c>
      <c r="AL9" s="4" t="str">
        <f>IF($D9="","",SUMIFS(Weights!$AK:$AK,Weights!$C:$C,$F9))</f>
        <v/>
      </c>
      <c r="AM9" s="4" t="str">
        <f>IF($D9="","",SUMIFS(Weights!$AL:$AL,Weights!$C:$C,$F9))</f>
        <v/>
      </c>
    </row>
    <row r="10" spans="1:39" x14ac:dyDescent="0.25">
      <c r="A10" s="4">
        <v>9</v>
      </c>
      <c r="B10" s="4" t="s">
        <v>56</v>
      </c>
      <c r="C10" s="4" t="s">
        <v>57</v>
      </c>
      <c r="D10" s="5" t="s">
        <v>878</v>
      </c>
      <c r="E10" s="4" t="str">
        <f>IF(D10="","",INDEX(Questions!$D$2:$G$81,MATCH(A10,Questions!$A$2:$A$81,0),MATCH(D10,{"A","B","C","D"},0)))</f>
        <v/>
      </c>
      <c r="F10" s="4" t="str">
        <f t="shared" si="0"/>
        <v>9|</v>
      </c>
      <c r="G10" s="4" t="str">
        <f>IF($D10="","",SUMIFS(Weights!$F:$F,Weights!$C:$C,$F10))</f>
        <v/>
      </c>
      <c r="H10" s="4" t="str">
        <f>IF($D10="","",SUMIFS(Weights!$G:$G,Weights!$C:$C,$F10))</f>
        <v/>
      </c>
      <c r="I10" s="4" t="str">
        <f>IF($D10="","",SUMIFS(Weights!$H:$H,Weights!$C:$C,$F10))</f>
        <v/>
      </c>
      <c r="J10" s="4" t="str">
        <f>IF($D10="","",SUMIFS(Weights!$I:$I,Weights!$C:$C,$F10))</f>
        <v/>
      </c>
      <c r="K10" s="4" t="str">
        <f>IF($D10="","",SUMIFS(Weights!$J:$J,Weights!$C:$C,$F10))</f>
        <v/>
      </c>
      <c r="L10" s="4" t="str">
        <f>IF($D10="","",SUMIFS(Weights!$K:$K,Weights!$C:$C,$F10))</f>
        <v/>
      </c>
      <c r="M10" s="4" t="str">
        <f>IF($D10="","",SUMIFS(Weights!$L:$L,Weights!$C:$C,$F10))</f>
        <v/>
      </c>
      <c r="N10" s="4" t="str">
        <f>IF($D10="","",SUMIFS(Weights!$M:$M,Weights!$C:$C,$F10))</f>
        <v/>
      </c>
      <c r="O10" s="4" t="str">
        <f>IF($D10="","",SUMIFS(Weights!$N:$N,Weights!$C:$C,$F10))</f>
        <v/>
      </c>
      <c r="P10" s="4" t="str">
        <f>IF($D10="","",SUMIFS(Weights!$O:$O,Weights!$C:$C,$F10))</f>
        <v/>
      </c>
      <c r="Q10" s="4" t="str">
        <f>IF($D10="","",SUMIFS(Weights!$P:$P,Weights!$C:$C,$F10))</f>
        <v/>
      </c>
      <c r="R10" s="4" t="str">
        <f>IF($D10="","",SUMIFS(Weights!$Q:$Q,Weights!$C:$C,$F10))</f>
        <v/>
      </c>
      <c r="S10" s="4" t="str">
        <f>IF($D10="","",SUMIFS(Weights!$R:$R,Weights!$C:$C,$F10))</f>
        <v/>
      </c>
      <c r="T10" s="4" t="str">
        <f>IF($D10="","",SUMIFS(Weights!$S:$S,Weights!$C:$C,$F10))</f>
        <v/>
      </c>
      <c r="U10" s="4" t="str">
        <f>IF($D10="","",SUMIFS(Weights!$T:$T,Weights!$C:$C,$F10))</f>
        <v/>
      </c>
      <c r="V10" s="4" t="str">
        <f>IF($D10="","",SUMIFS(Weights!$U:$U,Weights!$C:$C,$F10))</f>
        <v/>
      </c>
      <c r="W10" s="4" t="str">
        <f>IF($D10="","",SUMIFS(Weights!$V:$V,Weights!$C:$C,$F10))</f>
        <v/>
      </c>
      <c r="X10" s="4" t="str">
        <f>IF($D10="","",SUMIFS(Weights!$W:$W,Weights!$C:$C,$F10))</f>
        <v/>
      </c>
      <c r="Y10" s="4" t="str">
        <f>IF($D10="","",SUMIFS(Weights!$X:$X,Weights!$C:$C,$F10))</f>
        <v/>
      </c>
      <c r="Z10" s="4" t="str">
        <f>IF($D10="","",SUMIFS(Weights!$Y:$Y,Weights!$C:$C,$F10))</f>
        <v/>
      </c>
      <c r="AA10" s="4" t="str">
        <f>IF($D10="","",SUMIFS(Weights!$Z:$Z,Weights!$C:$C,$F10))</f>
        <v/>
      </c>
      <c r="AB10" s="4" t="str">
        <f>IF($D10="","",SUMIFS(Weights!$AA:$AA,Weights!$C:$C,$F10))</f>
        <v/>
      </c>
      <c r="AC10" s="4" t="str">
        <f>IF($D10="","",SUMIFS(Weights!$AB:$AB,Weights!$C:$C,$F10))</f>
        <v/>
      </c>
      <c r="AD10" s="4" t="str">
        <f>IF($D10="","",SUMIFS(Weights!$AC:$AC,Weights!$C:$C,$F10))</f>
        <v/>
      </c>
      <c r="AE10" s="4" t="str">
        <f>IF($D10="","",SUMIFS(Weights!$AD:$AD,Weights!$C:$C,$F10))</f>
        <v/>
      </c>
      <c r="AF10" s="4" t="str">
        <f>IF($D10="","",SUMIFS(Weights!$AE:$AE,Weights!$C:$C,$F10))</f>
        <v/>
      </c>
      <c r="AG10" s="4" t="str">
        <f>IF($D10="","",SUMIFS(Weights!$AF:$AF,Weights!$C:$C,$F10))</f>
        <v/>
      </c>
      <c r="AH10" s="4" t="str">
        <f>IF($D10="","",SUMIFS(Weights!$AG:$AG,Weights!$C:$C,$F10))</f>
        <v/>
      </c>
      <c r="AI10" s="4" t="str">
        <f>IF($D10="","",SUMIFS(Weights!$AH:$AH,Weights!$C:$C,$F10))</f>
        <v/>
      </c>
      <c r="AJ10" s="4" t="str">
        <f>IF($D10="","",SUMIFS(Weights!$AI:$AI,Weights!$C:$C,$F10))</f>
        <v/>
      </c>
      <c r="AK10" s="4" t="str">
        <f>IF($D10="","",SUMIFS(Weights!$AJ:$AJ,Weights!$C:$C,$F10))</f>
        <v/>
      </c>
      <c r="AL10" s="4" t="str">
        <f>IF($D10="","",SUMIFS(Weights!$AK:$AK,Weights!$C:$C,$F10))</f>
        <v/>
      </c>
      <c r="AM10" s="4" t="str">
        <f>IF($D10="","",SUMIFS(Weights!$AL:$AL,Weights!$C:$C,$F10))</f>
        <v/>
      </c>
    </row>
    <row r="11" spans="1:39" x14ac:dyDescent="0.25">
      <c r="A11" s="4">
        <v>10</v>
      </c>
      <c r="B11" s="4" t="s">
        <v>56</v>
      </c>
      <c r="C11" s="4" t="s">
        <v>62</v>
      </c>
      <c r="D11" s="5" t="s">
        <v>878</v>
      </c>
      <c r="E11" s="4" t="str">
        <f>IF(D11="","",INDEX(Questions!$D$2:$G$81,MATCH(A11,Questions!$A$2:$A$81,0),MATCH(D11,{"A","B","C","D"},0)))</f>
        <v/>
      </c>
      <c r="F11" s="4" t="str">
        <f t="shared" si="0"/>
        <v>10|</v>
      </c>
      <c r="G11" s="4" t="str">
        <f>IF($D11="","",SUMIFS(Weights!$F:$F,Weights!$C:$C,$F11))</f>
        <v/>
      </c>
      <c r="H11" s="4" t="str">
        <f>IF($D11="","",SUMIFS(Weights!$G:$G,Weights!$C:$C,$F11))</f>
        <v/>
      </c>
      <c r="I11" s="4" t="str">
        <f>IF($D11="","",SUMIFS(Weights!$H:$H,Weights!$C:$C,$F11))</f>
        <v/>
      </c>
      <c r="J11" s="4" t="str">
        <f>IF($D11="","",SUMIFS(Weights!$I:$I,Weights!$C:$C,$F11))</f>
        <v/>
      </c>
      <c r="K11" s="4" t="str">
        <f>IF($D11="","",SUMIFS(Weights!$J:$J,Weights!$C:$C,$F11))</f>
        <v/>
      </c>
      <c r="L11" s="4" t="str">
        <f>IF($D11="","",SUMIFS(Weights!$K:$K,Weights!$C:$C,$F11))</f>
        <v/>
      </c>
      <c r="M11" s="4" t="str">
        <f>IF($D11="","",SUMIFS(Weights!$L:$L,Weights!$C:$C,$F11))</f>
        <v/>
      </c>
      <c r="N11" s="4" t="str">
        <f>IF($D11="","",SUMIFS(Weights!$M:$M,Weights!$C:$C,$F11))</f>
        <v/>
      </c>
      <c r="O11" s="4" t="str">
        <f>IF($D11="","",SUMIFS(Weights!$N:$N,Weights!$C:$C,$F11))</f>
        <v/>
      </c>
      <c r="P11" s="4" t="str">
        <f>IF($D11="","",SUMIFS(Weights!$O:$O,Weights!$C:$C,$F11))</f>
        <v/>
      </c>
      <c r="Q11" s="4" t="str">
        <f>IF($D11="","",SUMIFS(Weights!$P:$P,Weights!$C:$C,$F11))</f>
        <v/>
      </c>
      <c r="R11" s="4" t="str">
        <f>IF($D11="","",SUMIFS(Weights!$Q:$Q,Weights!$C:$C,$F11))</f>
        <v/>
      </c>
      <c r="S11" s="4" t="str">
        <f>IF($D11="","",SUMIFS(Weights!$R:$R,Weights!$C:$C,$F11))</f>
        <v/>
      </c>
      <c r="T11" s="4" t="str">
        <f>IF($D11="","",SUMIFS(Weights!$S:$S,Weights!$C:$C,$F11))</f>
        <v/>
      </c>
      <c r="U11" s="4" t="str">
        <f>IF($D11="","",SUMIFS(Weights!$T:$T,Weights!$C:$C,$F11))</f>
        <v/>
      </c>
      <c r="V11" s="4" t="str">
        <f>IF($D11="","",SUMIFS(Weights!$U:$U,Weights!$C:$C,$F11))</f>
        <v/>
      </c>
      <c r="W11" s="4" t="str">
        <f>IF($D11="","",SUMIFS(Weights!$V:$V,Weights!$C:$C,$F11))</f>
        <v/>
      </c>
      <c r="X11" s="4" t="str">
        <f>IF($D11="","",SUMIFS(Weights!$W:$W,Weights!$C:$C,$F11))</f>
        <v/>
      </c>
      <c r="Y11" s="4" t="str">
        <f>IF($D11="","",SUMIFS(Weights!$X:$X,Weights!$C:$C,$F11))</f>
        <v/>
      </c>
      <c r="Z11" s="4" t="str">
        <f>IF($D11="","",SUMIFS(Weights!$Y:$Y,Weights!$C:$C,$F11))</f>
        <v/>
      </c>
      <c r="AA11" s="4" t="str">
        <f>IF($D11="","",SUMIFS(Weights!$Z:$Z,Weights!$C:$C,$F11))</f>
        <v/>
      </c>
      <c r="AB11" s="4" t="str">
        <f>IF($D11="","",SUMIFS(Weights!$AA:$AA,Weights!$C:$C,$F11))</f>
        <v/>
      </c>
      <c r="AC11" s="4" t="str">
        <f>IF($D11="","",SUMIFS(Weights!$AB:$AB,Weights!$C:$C,$F11))</f>
        <v/>
      </c>
      <c r="AD11" s="4" t="str">
        <f>IF($D11="","",SUMIFS(Weights!$AC:$AC,Weights!$C:$C,$F11))</f>
        <v/>
      </c>
      <c r="AE11" s="4" t="str">
        <f>IF($D11="","",SUMIFS(Weights!$AD:$AD,Weights!$C:$C,$F11))</f>
        <v/>
      </c>
      <c r="AF11" s="4" t="str">
        <f>IF($D11="","",SUMIFS(Weights!$AE:$AE,Weights!$C:$C,$F11))</f>
        <v/>
      </c>
      <c r="AG11" s="4" t="str">
        <f>IF($D11="","",SUMIFS(Weights!$AF:$AF,Weights!$C:$C,$F11))</f>
        <v/>
      </c>
      <c r="AH11" s="4" t="str">
        <f>IF($D11="","",SUMIFS(Weights!$AG:$AG,Weights!$C:$C,$F11))</f>
        <v/>
      </c>
      <c r="AI11" s="4" t="str">
        <f>IF($D11="","",SUMIFS(Weights!$AH:$AH,Weights!$C:$C,$F11))</f>
        <v/>
      </c>
      <c r="AJ11" s="4" t="str">
        <f>IF($D11="","",SUMIFS(Weights!$AI:$AI,Weights!$C:$C,$F11))</f>
        <v/>
      </c>
      <c r="AK11" s="4" t="str">
        <f>IF($D11="","",SUMIFS(Weights!$AJ:$AJ,Weights!$C:$C,$F11))</f>
        <v/>
      </c>
      <c r="AL11" s="4" t="str">
        <f>IF($D11="","",SUMIFS(Weights!$AK:$AK,Weights!$C:$C,$F11))</f>
        <v/>
      </c>
      <c r="AM11" s="4" t="str">
        <f>IF($D11="","",SUMIFS(Weights!$AL:$AL,Weights!$C:$C,$F11))</f>
        <v/>
      </c>
    </row>
    <row r="12" spans="1:39" x14ac:dyDescent="0.25">
      <c r="A12" s="4">
        <v>11</v>
      </c>
      <c r="B12" s="4" t="s">
        <v>56</v>
      </c>
      <c r="C12" s="4" t="s">
        <v>67</v>
      </c>
      <c r="D12" s="5" t="s">
        <v>878</v>
      </c>
      <c r="E12" s="4" t="str">
        <f>IF(D12="","",INDEX(Questions!$D$2:$G$81,MATCH(A12,Questions!$A$2:$A$81,0),MATCH(D12,{"A","B","C","D"},0)))</f>
        <v/>
      </c>
      <c r="F12" s="4" t="str">
        <f t="shared" si="0"/>
        <v>11|</v>
      </c>
      <c r="G12" s="4" t="str">
        <f>IF($D12="","",SUMIFS(Weights!$F:$F,Weights!$C:$C,$F12))</f>
        <v/>
      </c>
      <c r="H12" s="4" t="str">
        <f>IF($D12="","",SUMIFS(Weights!$G:$G,Weights!$C:$C,$F12))</f>
        <v/>
      </c>
      <c r="I12" s="4" t="str">
        <f>IF($D12="","",SUMIFS(Weights!$H:$H,Weights!$C:$C,$F12))</f>
        <v/>
      </c>
      <c r="J12" s="4" t="str">
        <f>IF($D12="","",SUMIFS(Weights!$I:$I,Weights!$C:$C,$F12))</f>
        <v/>
      </c>
      <c r="K12" s="4" t="str">
        <f>IF($D12="","",SUMIFS(Weights!$J:$J,Weights!$C:$C,$F12))</f>
        <v/>
      </c>
      <c r="L12" s="4" t="str">
        <f>IF($D12="","",SUMIFS(Weights!$K:$K,Weights!$C:$C,$F12))</f>
        <v/>
      </c>
      <c r="M12" s="4" t="str">
        <f>IF($D12="","",SUMIFS(Weights!$L:$L,Weights!$C:$C,$F12))</f>
        <v/>
      </c>
      <c r="N12" s="4" t="str">
        <f>IF($D12="","",SUMIFS(Weights!$M:$M,Weights!$C:$C,$F12))</f>
        <v/>
      </c>
      <c r="O12" s="4" t="str">
        <f>IF($D12="","",SUMIFS(Weights!$N:$N,Weights!$C:$C,$F12))</f>
        <v/>
      </c>
      <c r="P12" s="4" t="str">
        <f>IF($D12="","",SUMIFS(Weights!$O:$O,Weights!$C:$C,$F12))</f>
        <v/>
      </c>
      <c r="Q12" s="4" t="str">
        <f>IF($D12="","",SUMIFS(Weights!$P:$P,Weights!$C:$C,$F12))</f>
        <v/>
      </c>
      <c r="R12" s="4" t="str">
        <f>IF($D12="","",SUMIFS(Weights!$Q:$Q,Weights!$C:$C,$F12))</f>
        <v/>
      </c>
      <c r="S12" s="4" t="str">
        <f>IF($D12="","",SUMIFS(Weights!$R:$R,Weights!$C:$C,$F12))</f>
        <v/>
      </c>
      <c r="T12" s="4" t="str">
        <f>IF($D12="","",SUMIFS(Weights!$S:$S,Weights!$C:$C,$F12))</f>
        <v/>
      </c>
      <c r="U12" s="4" t="str">
        <f>IF($D12="","",SUMIFS(Weights!$T:$T,Weights!$C:$C,$F12))</f>
        <v/>
      </c>
      <c r="V12" s="4" t="str">
        <f>IF($D12="","",SUMIFS(Weights!$U:$U,Weights!$C:$C,$F12))</f>
        <v/>
      </c>
      <c r="W12" s="4" t="str">
        <f>IF($D12="","",SUMIFS(Weights!$V:$V,Weights!$C:$C,$F12))</f>
        <v/>
      </c>
      <c r="X12" s="4" t="str">
        <f>IF($D12="","",SUMIFS(Weights!$W:$W,Weights!$C:$C,$F12))</f>
        <v/>
      </c>
      <c r="Y12" s="4" t="str">
        <f>IF($D12="","",SUMIFS(Weights!$X:$X,Weights!$C:$C,$F12))</f>
        <v/>
      </c>
      <c r="Z12" s="4" t="str">
        <f>IF($D12="","",SUMIFS(Weights!$Y:$Y,Weights!$C:$C,$F12))</f>
        <v/>
      </c>
      <c r="AA12" s="4" t="str">
        <f>IF($D12="","",SUMIFS(Weights!$Z:$Z,Weights!$C:$C,$F12))</f>
        <v/>
      </c>
      <c r="AB12" s="4" t="str">
        <f>IF($D12="","",SUMIFS(Weights!$AA:$AA,Weights!$C:$C,$F12))</f>
        <v/>
      </c>
      <c r="AC12" s="4" t="str">
        <f>IF($D12="","",SUMIFS(Weights!$AB:$AB,Weights!$C:$C,$F12))</f>
        <v/>
      </c>
      <c r="AD12" s="4" t="str">
        <f>IF($D12="","",SUMIFS(Weights!$AC:$AC,Weights!$C:$C,$F12))</f>
        <v/>
      </c>
      <c r="AE12" s="4" t="str">
        <f>IF($D12="","",SUMIFS(Weights!$AD:$AD,Weights!$C:$C,$F12))</f>
        <v/>
      </c>
      <c r="AF12" s="4" t="str">
        <f>IF($D12="","",SUMIFS(Weights!$AE:$AE,Weights!$C:$C,$F12))</f>
        <v/>
      </c>
      <c r="AG12" s="4" t="str">
        <f>IF($D12="","",SUMIFS(Weights!$AF:$AF,Weights!$C:$C,$F12))</f>
        <v/>
      </c>
      <c r="AH12" s="4" t="str">
        <f>IF($D12="","",SUMIFS(Weights!$AG:$AG,Weights!$C:$C,$F12))</f>
        <v/>
      </c>
      <c r="AI12" s="4" t="str">
        <f>IF($D12="","",SUMIFS(Weights!$AH:$AH,Weights!$C:$C,$F12))</f>
        <v/>
      </c>
      <c r="AJ12" s="4" t="str">
        <f>IF($D12="","",SUMIFS(Weights!$AI:$AI,Weights!$C:$C,$F12))</f>
        <v/>
      </c>
      <c r="AK12" s="4" t="str">
        <f>IF($D12="","",SUMIFS(Weights!$AJ:$AJ,Weights!$C:$C,$F12))</f>
        <v/>
      </c>
      <c r="AL12" s="4" t="str">
        <f>IF($D12="","",SUMIFS(Weights!$AK:$AK,Weights!$C:$C,$F12))</f>
        <v/>
      </c>
      <c r="AM12" s="4" t="str">
        <f>IF($D12="","",SUMIFS(Weights!$AL:$AL,Weights!$C:$C,$F12))</f>
        <v/>
      </c>
    </row>
    <row r="13" spans="1:39" x14ac:dyDescent="0.25">
      <c r="A13" s="4">
        <v>12</v>
      </c>
      <c r="B13" s="4" t="s">
        <v>56</v>
      </c>
      <c r="C13" s="4" t="s">
        <v>72</v>
      </c>
      <c r="D13" s="5" t="s">
        <v>878</v>
      </c>
      <c r="E13" s="4" t="str">
        <f>IF(D13="","",INDEX(Questions!$D$2:$G$81,MATCH(A13,Questions!$A$2:$A$81,0),MATCH(D13,{"A","B","C","D"},0)))</f>
        <v/>
      </c>
      <c r="F13" s="4" t="str">
        <f t="shared" si="0"/>
        <v>12|</v>
      </c>
      <c r="G13" s="4" t="str">
        <f>IF($D13="","",SUMIFS(Weights!$F:$F,Weights!$C:$C,$F13))</f>
        <v/>
      </c>
      <c r="H13" s="4" t="str">
        <f>IF($D13="","",SUMIFS(Weights!$G:$G,Weights!$C:$C,$F13))</f>
        <v/>
      </c>
      <c r="I13" s="4" t="str">
        <f>IF($D13="","",SUMIFS(Weights!$H:$H,Weights!$C:$C,$F13))</f>
        <v/>
      </c>
      <c r="J13" s="4" t="str">
        <f>IF($D13="","",SUMIFS(Weights!$I:$I,Weights!$C:$C,$F13))</f>
        <v/>
      </c>
      <c r="K13" s="4" t="str">
        <f>IF($D13="","",SUMIFS(Weights!$J:$J,Weights!$C:$C,$F13))</f>
        <v/>
      </c>
      <c r="L13" s="4" t="str">
        <f>IF($D13="","",SUMIFS(Weights!$K:$K,Weights!$C:$C,$F13))</f>
        <v/>
      </c>
      <c r="M13" s="4" t="str">
        <f>IF($D13="","",SUMIFS(Weights!$L:$L,Weights!$C:$C,$F13))</f>
        <v/>
      </c>
      <c r="N13" s="4" t="str">
        <f>IF($D13="","",SUMIFS(Weights!$M:$M,Weights!$C:$C,$F13))</f>
        <v/>
      </c>
      <c r="O13" s="4" t="str">
        <f>IF($D13="","",SUMIFS(Weights!$N:$N,Weights!$C:$C,$F13))</f>
        <v/>
      </c>
      <c r="P13" s="4" t="str">
        <f>IF($D13="","",SUMIFS(Weights!$O:$O,Weights!$C:$C,$F13))</f>
        <v/>
      </c>
      <c r="Q13" s="4" t="str">
        <f>IF($D13="","",SUMIFS(Weights!$P:$P,Weights!$C:$C,$F13))</f>
        <v/>
      </c>
      <c r="R13" s="4" t="str">
        <f>IF($D13="","",SUMIFS(Weights!$Q:$Q,Weights!$C:$C,$F13))</f>
        <v/>
      </c>
      <c r="S13" s="4" t="str">
        <f>IF($D13="","",SUMIFS(Weights!$R:$R,Weights!$C:$C,$F13))</f>
        <v/>
      </c>
      <c r="T13" s="4" t="str">
        <f>IF($D13="","",SUMIFS(Weights!$S:$S,Weights!$C:$C,$F13))</f>
        <v/>
      </c>
      <c r="U13" s="4" t="str">
        <f>IF($D13="","",SUMIFS(Weights!$T:$T,Weights!$C:$C,$F13))</f>
        <v/>
      </c>
      <c r="V13" s="4" t="str">
        <f>IF($D13="","",SUMIFS(Weights!$U:$U,Weights!$C:$C,$F13))</f>
        <v/>
      </c>
      <c r="W13" s="4" t="str">
        <f>IF($D13="","",SUMIFS(Weights!$V:$V,Weights!$C:$C,$F13))</f>
        <v/>
      </c>
      <c r="X13" s="4" t="str">
        <f>IF($D13="","",SUMIFS(Weights!$W:$W,Weights!$C:$C,$F13))</f>
        <v/>
      </c>
      <c r="Y13" s="4" t="str">
        <f>IF($D13="","",SUMIFS(Weights!$X:$X,Weights!$C:$C,$F13))</f>
        <v/>
      </c>
      <c r="Z13" s="4" t="str">
        <f>IF($D13="","",SUMIFS(Weights!$Y:$Y,Weights!$C:$C,$F13))</f>
        <v/>
      </c>
      <c r="AA13" s="4" t="str">
        <f>IF($D13="","",SUMIFS(Weights!$Z:$Z,Weights!$C:$C,$F13))</f>
        <v/>
      </c>
      <c r="AB13" s="4" t="str">
        <f>IF($D13="","",SUMIFS(Weights!$AA:$AA,Weights!$C:$C,$F13))</f>
        <v/>
      </c>
      <c r="AC13" s="4" t="str">
        <f>IF($D13="","",SUMIFS(Weights!$AB:$AB,Weights!$C:$C,$F13))</f>
        <v/>
      </c>
      <c r="AD13" s="4" t="str">
        <f>IF($D13="","",SUMIFS(Weights!$AC:$AC,Weights!$C:$C,$F13))</f>
        <v/>
      </c>
      <c r="AE13" s="4" t="str">
        <f>IF($D13="","",SUMIFS(Weights!$AD:$AD,Weights!$C:$C,$F13))</f>
        <v/>
      </c>
      <c r="AF13" s="4" t="str">
        <f>IF($D13="","",SUMIFS(Weights!$AE:$AE,Weights!$C:$C,$F13))</f>
        <v/>
      </c>
      <c r="AG13" s="4" t="str">
        <f>IF($D13="","",SUMIFS(Weights!$AF:$AF,Weights!$C:$C,$F13))</f>
        <v/>
      </c>
      <c r="AH13" s="4" t="str">
        <f>IF($D13="","",SUMIFS(Weights!$AG:$AG,Weights!$C:$C,$F13))</f>
        <v/>
      </c>
      <c r="AI13" s="4" t="str">
        <f>IF($D13="","",SUMIFS(Weights!$AH:$AH,Weights!$C:$C,$F13))</f>
        <v/>
      </c>
      <c r="AJ13" s="4" t="str">
        <f>IF($D13="","",SUMIFS(Weights!$AI:$AI,Weights!$C:$C,$F13))</f>
        <v/>
      </c>
      <c r="AK13" s="4" t="str">
        <f>IF($D13="","",SUMIFS(Weights!$AJ:$AJ,Weights!$C:$C,$F13))</f>
        <v/>
      </c>
      <c r="AL13" s="4" t="str">
        <f>IF($D13="","",SUMIFS(Weights!$AK:$AK,Weights!$C:$C,$F13))</f>
        <v/>
      </c>
      <c r="AM13" s="4" t="str">
        <f>IF($D13="","",SUMIFS(Weights!$AL:$AL,Weights!$C:$C,$F13))</f>
        <v/>
      </c>
    </row>
    <row r="14" spans="1:39" x14ac:dyDescent="0.25">
      <c r="A14" s="4">
        <v>13</v>
      </c>
      <c r="B14" s="4" t="s">
        <v>56</v>
      </c>
      <c r="C14" s="4" t="s">
        <v>77</v>
      </c>
      <c r="D14" s="5" t="s">
        <v>878</v>
      </c>
      <c r="E14" s="4" t="str">
        <f>IF(D14="","",INDEX(Questions!$D$2:$G$81,MATCH(A14,Questions!$A$2:$A$81,0),MATCH(D14,{"A","B","C","D"},0)))</f>
        <v/>
      </c>
      <c r="F14" s="4" t="str">
        <f t="shared" si="0"/>
        <v>13|</v>
      </c>
      <c r="G14" s="4" t="str">
        <f>IF($D14="","",SUMIFS(Weights!$F:$F,Weights!$C:$C,$F14))</f>
        <v/>
      </c>
      <c r="H14" s="4" t="str">
        <f>IF($D14="","",SUMIFS(Weights!$G:$G,Weights!$C:$C,$F14))</f>
        <v/>
      </c>
      <c r="I14" s="4" t="str">
        <f>IF($D14="","",SUMIFS(Weights!$H:$H,Weights!$C:$C,$F14))</f>
        <v/>
      </c>
      <c r="J14" s="4" t="str">
        <f>IF($D14="","",SUMIFS(Weights!$I:$I,Weights!$C:$C,$F14))</f>
        <v/>
      </c>
      <c r="K14" s="4" t="str">
        <f>IF($D14="","",SUMIFS(Weights!$J:$J,Weights!$C:$C,$F14))</f>
        <v/>
      </c>
      <c r="L14" s="4" t="str">
        <f>IF($D14="","",SUMIFS(Weights!$K:$K,Weights!$C:$C,$F14))</f>
        <v/>
      </c>
      <c r="M14" s="4" t="str">
        <f>IF($D14="","",SUMIFS(Weights!$L:$L,Weights!$C:$C,$F14))</f>
        <v/>
      </c>
      <c r="N14" s="4" t="str">
        <f>IF($D14="","",SUMIFS(Weights!$M:$M,Weights!$C:$C,$F14))</f>
        <v/>
      </c>
      <c r="O14" s="4" t="str">
        <f>IF($D14="","",SUMIFS(Weights!$N:$N,Weights!$C:$C,$F14))</f>
        <v/>
      </c>
      <c r="P14" s="4" t="str">
        <f>IF($D14="","",SUMIFS(Weights!$O:$O,Weights!$C:$C,$F14))</f>
        <v/>
      </c>
      <c r="Q14" s="4" t="str">
        <f>IF($D14="","",SUMIFS(Weights!$P:$P,Weights!$C:$C,$F14))</f>
        <v/>
      </c>
      <c r="R14" s="4" t="str">
        <f>IF($D14="","",SUMIFS(Weights!$Q:$Q,Weights!$C:$C,$F14))</f>
        <v/>
      </c>
      <c r="S14" s="4" t="str">
        <f>IF($D14="","",SUMIFS(Weights!$R:$R,Weights!$C:$C,$F14))</f>
        <v/>
      </c>
      <c r="T14" s="4" t="str">
        <f>IF($D14="","",SUMIFS(Weights!$S:$S,Weights!$C:$C,$F14))</f>
        <v/>
      </c>
      <c r="U14" s="4" t="str">
        <f>IF($D14="","",SUMIFS(Weights!$T:$T,Weights!$C:$C,$F14))</f>
        <v/>
      </c>
      <c r="V14" s="4" t="str">
        <f>IF($D14="","",SUMIFS(Weights!$U:$U,Weights!$C:$C,$F14))</f>
        <v/>
      </c>
      <c r="W14" s="4" t="str">
        <f>IF($D14="","",SUMIFS(Weights!$V:$V,Weights!$C:$C,$F14))</f>
        <v/>
      </c>
      <c r="X14" s="4" t="str">
        <f>IF($D14="","",SUMIFS(Weights!$W:$W,Weights!$C:$C,$F14))</f>
        <v/>
      </c>
      <c r="Y14" s="4" t="str">
        <f>IF($D14="","",SUMIFS(Weights!$X:$X,Weights!$C:$C,$F14))</f>
        <v/>
      </c>
      <c r="Z14" s="4" t="str">
        <f>IF($D14="","",SUMIFS(Weights!$Y:$Y,Weights!$C:$C,$F14))</f>
        <v/>
      </c>
      <c r="AA14" s="4" t="str">
        <f>IF($D14="","",SUMIFS(Weights!$Z:$Z,Weights!$C:$C,$F14))</f>
        <v/>
      </c>
      <c r="AB14" s="4" t="str">
        <f>IF($D14="","",SUMIFS(Weights!$AA:$AA,Weights!$C:$C,$F14))</f>
        <v/>
      </c>
      <c r="AC14" s="4" t="str">
        <f>IF($D14="","",SUMIFS(Weights!$AB:$AB,Weights!$C:$C,$F14))</f>
        <v/>
      </c>
      <c r="AD14" s="4" t="str">
        <f>IF($D14="","",SUMIFS(Weights!$AC:$AC,Weights!$C:$C,$F14))</f>
        <v/>
      </c>
      <c r="AE14" s="4" t="str">
        <f>IF($D14="","",SUMIFS(Weights!$AD:$AD,Weights!$C:$C,$F14))</f>
        <v/>
      </c>
      <c r="AF14" s="4" t="str">
        <f>IF($D14="","",SUMIFS(Weights!$AE:$AE,Weights!$C:$C,$F14))</f>
        <v/>
      </c>
      <c r="AG14" s="4" t="str">
        <f>IF($D14="","",SUMIFS(Weights!$AF:$AF,Weights!$C:$C,$F14))</f>
        <v/>
      </c>
      <c r="AH14" s="4" t="str">
        <f>IF($D14="","",SUMIFS(Weights!$AG:$AG,Weights!$C:$C,$F14))</f>
        <v/>
      </c>
      <c r="AI14" s="4" t="str">
        <f>IF($D14="","",SUMIFS(Weights!$AH:$AH,Weights!$C:$C,$F14))</f>
        <v/>
      </c>
      <c r="AJ14" s="4" t="str">
        <f>IF($D14="","",SUMIFS(Weights!$AI:$AI,Weights!$C:$C,$F14))</f>
        <v/>
      </c>
      <c r="AK14" s="4" t="str">
        <f>IF($D14="","",SUMIFS(Weights!$AJ:$AJ,Weights!$C:$C,$F14))</f>
        <v/>
      </c>
      <c r="AL14" s="4" t="str">
        <f>IF($D14="","",SUMIFS(Weights!$AK:$AK,Weights!$C:$C,$F14))</f>
        <v/>
      </c>
      <c r="AM14" s="4" t="str">
        <f>IF($D14="","",SUMIFS(Weights!$AL:$AL,Weights!$C:$C,$F14))</f>
        <v/>
      </c>
    </row>
    <row r="15" spans="1:39" x14ac:dyDescent="0.25">
      <c r="A15" s="4">
        <v>14</v>
      </c>
      <c r="B15" s="4" t="s">
        <v>56</v>
      </c>
      <c r="C15" s="4" t="s">
        <v>82</v>
      </c>
      <c r="D15" s="5" t="s">
        <v>878</v>
      </c>
      <c r="E15" s="4" t="str">
        <f>IF(D15="","",INDEX(Questions!$D$2:$G$81,MATCH(A15,Questions!$A$2:$A$81,0),MATCH(D15,{"A","B","C","D"},0)))</f>
        <v/>
      </c>
      <c r="F15" s="4" t="str">
        <f t="shared" si="0"/>
        <v>14|</v>
      </c>
      <c r="G15" s="4" t="str">
        <f>IF($D15="","",SUMIFS(Weights!$F:$F,Weights!$C:$C,$F15))</f>
        <v/>
      </c>
      <c r="H15" s="4" t="str">
        <f>IF($D15="","",SUMIFS(Weights!$G:$G,Weights!$C:$C,$F15))</f>
        <v/>
      </c>
      <c r="I15" s="4" t="str">
        <f>IF($D15="","",SUMIFS(Weights!$H:$H,Weights!$C:$C,$F15))</f>
        <v/>
      </c>
      <c r="J15" s="4" t="str">
        <f>IF($D15="","",SUMIFS(Weights!$I:$I,Weights!$C:$C,$F15))</f>
        <v/>
      </c>
      <c r="K15" s="4" t="str">
        <f>IF($D15="","",SUMIFS(Weights!$J:$J,Weights!$C:$C,$F15))</f>
        <v/>
      </c>
      <c r="L15" s="4" t="str">
        <f>IF($D15="","",SUMIFS(Weights!$K:$K,Weights!$C:$C,$F15))</f>
        <v/>
      </c>
      <c r="M15" s="4" t="str">
        <f>IF($D15="","",SUMIFS(Weights!$L:$L,Weights!$C:$C,$F15))</f>
        <v/>
      </c>
      <c r="N15" s="4" t="str">
        <f>IF($D15="","",SUMIFS(Weights!$M:$M,Weights!$C:$C,$F15))</f>
        <v/>
      </c>
      <c r="O15" s="4" t="str">
        <f>IF($D15="","",SUMIFS(Weights!$N:$N,Weights!$C:$C,$F15))</f>
        <v/>
      </c>
      <c r="P15" s="4" t="str">
        <f>IF($D15="","",SUMIFS(Weights!$O:$O,Weights!$C:$C,$F15))</f>
        <v/>
      </c>
      <c r="Q15" s="4" t="str">
        <f>IF($D15="","",SUMIFS(Weights!$P:$P,Weights!$C:$C,$F15))</f>
        <v/>
      </c>
      <c r="R15" s="4" t="str">
        <f>IF($D15="","",SUMIFS(Weights!$Q:$Q,Weights!$C:$C,$F15))</f>
        <v/>
      </c>
      <c r="S15" s="4" t="str">
        <f>IF($D15="","",SUMIFS(Weights!$R:$R,Weights!$C:$C,$F15))</f>
        <v/>
      </c>
      <c r="T15" s="4" t="str">
        <f>IF($D15="","",SUMIFS(Weights!$S:$S,Weights!$C:$C,$F15))</f>
        <v/>
      </c>
      <c r="U15" s="4" t="str">
        <f>IF($D15="","",SUMIFS(Weights!$T:$T,Weights!$C:$C,$F15))</f>
        <v/>
      </c>
      <c r="V15" s="4" t="str">
        <f>IF($D15="","",SUMIFS(Weights!$U:$U,Weights!$C:$C,$F15))</f>
        <v/>
      </c>
      <c r="W15" s="4" t="str">
        <f>IF($D15="","",SUMIFS(Weights!$V:$V,Weights!$C:$C,$F15))</f>
        <v/>
      </c>
      <c r="X15" s="4" t="str">
        <f>IF($D15="","",SUMIFS(Weights!$W:$W,Weights!$C:$C,$F15))</f>
        <v/>
      </c>
      <c r="Y15" s="4" t="str">
        <f>IF($D15="","",SUMIFS(Weights!$X:$X,Weights!$C:$C,$F15))</f>
        <v/>
      </c>
      <c r="Z15" s="4" t="str">
        <f>IF($D15="","",SUMIFS(Weights!$Y:$Y,Weights!$C:$C,$F15))</f>
        <v/>
      </c>
      <c r="AA15" s="4" t="str">
        <f>IF($D15="","",SUMIFS(Weights!$Z:$Z,Weights!$C:$C,$F15))</f>
        <v/>
      </c>
      <c r="AB15" s="4" t="str">
        <f>IF($D15="","",SUMIFS(Weights!$AA:$AA,Weights!$C:$C,$F15))</f>
        <v/>
      </c>
      <c r="AC15" s="4" t="str">
        <f>IF($D15="","",SUMIFS(Weights!$AB:$AB,Weights!$C:$C,$F15))</f>
        <v/>
      </c>
      <c r="AD15" s="4" t="str">
        <f>IF($D15="","",SUMIFS(Weights!$AC:$AC,Weights!$C:$C,$F15))</f>
        <v/>
      </c>
      <c r="AE15" s="4" t="str">
        <f>IF($D15="","",SUMIFS(Weights!$AD:$AD,Weights!$C:$C,$F15))</f>
        <v/>
      </c>
      <c r="AF15" s="4" t="str">
        <f>IF($D15="","",SUMIFS(Weights!$AE:$AE,Weights!$C:$C,$F15))</f>
        <v/>
      </c>
      <c r="AG15" s="4" t="str">
        <f>IF($D15="","",SUMIFS(Weights!$AF:$AF,Weights!$C:$C,$F15))</f>
        <v/>
      </c>
      <c r="AH15" s="4" t="str">
        <f>IF($D15="","",SUMIFS(Weights!$AG:$AG,Weights!$C:$C,$F15))</f>
        <v/>
      </c>
      <c r="AI15" s="4" t="str">
        <f>IF($D15="","",SUMIFS(Weights!$AH:$AH,Weights!$C:$C,$F15))</f>
        <v/>
      </c>
      <c r="AJ15" s="4" t="str">
        <f>IF($D15="","",SUMIFS(Weights!$AI:$AI,Weights!$C:$C,$F15))</f>
        <v/>
      </c>
      <c r="AK15" s="4" t="str">
        <f>IF($D15="","",SUMIFS(Weights!$AJ:$AJ,Weights!$C:$C,$F15))</f>
        <v/>
      </c>
      <c r="AL15" s="4" t="str">
        <f>IF($D15="","",SUMIFS(Weights!$AK:$AK,Weights!$C:$C,$F15))</f>
        <v/>
      </c>
      <c r="AM15" s="4" t="str">
        <f>IF($D15="","",SUMIFS(Weights!$AL:$AL,Weights!$C:$C,$F15))</f>
        <v/>
      </c>
    </row>
    <row r="16" spans="1:39" x14ac:dyDescent="0.25">
      <c r="A16" s="4">
        <v>15</v>
      </c>
      <c r="B16" s="4" t="s">
        <v>56</v>
      </c>
      <c r="C16" s="4" t="s">
        <v>87</v>
      </c>
      <c r="D16" s="5" t="s">
        <v>878</v>
      </c>
      <c r="E16" s="4" t="str">
        <f>IF(D16="","",INDEX(Questions!$D$2:$G$81,MATCH(A16,Questions!$A$2:$A$81,0),MATCH(D16,{"A","B","C","D"},0)))</f>
        <v/>
      </c>
      <c r="F16" s="4" t="str">
        <f t="shared" si="0"/>
        <v>15|</v>
      </c>
      <c r="G16" s="4" t="str">
        <f>IF($D16="","",SUMIFS(Weights!$F:$F,Weights!$C:$C,$F16))</f>
        <v/>
      </c>
      <c r="H16" s="4" t="str">
        <f>IF($D16="","",SUMIFS(Weights!$G:$G,Weights!$C:$C,$F16))</f>
        <v/>
      </c>
      <c r="I16" s="4" t="str">
        <f>IF($D16="","",SUMIFS(Weights!$H:$H,Weights!$C:$C,$F16))</f>
        <v/>
      </c>
      <c r="J16" s="4" t="str">
        <f>IF($D16="","",SUMIFS(Weights!$I:$I,Weights!$C:$C,$F16))</f>
        <v/>
      </c>
      <c r="K16" s="4" t="str">
        <f>IF($D16="","",SUMIFS(Weights!$J:$J,Weights!$C:$C,$F16))</f>
        <v/>
      </c>
      <c r="L16" s="4" t="str">
        <f>IF($D16="","",SUMIFS(Weights!$K:$K,Weights!$C:$C,$F16))</f>
        <v/>
      </c>
      <c r="M16" s="4" t="str">
        <f>IF($D16="","",SUMIFS(Weights!$L:$L,Weights!$C:$C,$F16))</f>
        <v/>
      </c>
      <c r="N16" s="4" t="str">
        <f>IF($D16="","",SUMIFS(Weights!$M:$M,Weights!$C:$C,$F16))</f>
        <v/>
      </c>
      <c r="O16" s="4" t="str">
        <f>IF($D16="","",SUMIFS(Weights!$N:$N,Weights!$C:$C,$F16))</f>
        <v/>
      </c>
      <c r="P16" s="4" t="str">
        <f>IF($D16="","",SUMIFS(Weights!$O:$O,Weights!$C:$C,$F16))</f>
        <v/>
      </c>
      <c r="Q16" s="4" t="str">
        <f>IF($D16="","",SUMIFS(Weights!$P:$P,Weights!$C:$C,$F16))</f>
        <v/>
      </c>
      <c r="R16" s="4" t="str">
        <f>IF($D16="","",SUMIFS(Weights!$Q:$Q,Weights!$C:$C,$F16))</f>
        <v/>
      </c>
      <c r="S16" s="4" t="str">
        <f>IF($D16="","",SUMIFS(Weights!$R:$R,Weights!$C:$C,$F16))</f>
        <v/>
      </c>
      <c r="T16" s="4" t="str">
        <f>IF($D16="","",SUMIFS(Weights!$S:$S,Weights!$C:$C,$F16))</f>
        <v/>
      </c>
      <c r="U16" s="4" t="str">
        <f>IF($D16="","",SUMIFS(Weights!$T:$T,Weights!$C:$C,$F16))</f>
        <v/>
      </c>
      <c r="V16" s="4" t="str">
        <f>IF($D16="","",SUMIFS(Weights!$U:$U,Weights!$C:$C,$F16))</f>
        <v/>
      </c>
      <c r="W16" s="4" t="str">
        <f>IF($D16="","",SUMIFS(Weights!$V:$V,Weights!$C:$C,$F16))</f>
        <v/>
      </c>
      <c r="X16" s="4" t="str">
        <f>IF($D16="","",SUMIFS(Weights!$W:$W,Weights!$C:$C,$F16))</f>
        <v/>
      </c>
      <c r="Y16" s="4" t="str">
        <f>IF($D16="","",SUMIFS(Weights!$X:$X,Weights!$C:$C,$F16))</f>
        <v/>
      </c>
      <c r="Z16" s="4" t="str">
        <f>IF($D16="","",SUMIFS(Weights!$Y:$Y,Weights!$C:$C,$F16))</f>
        <v/>
      </c>
      <c r="AA16" s="4" t="str">
        <f>IF($D16="","",SUMIFS(Weights!$Z:$Z,Weights!$C:$C,$F16))</f>
        <v/>
      </c>
      <c r="AB16" s="4" t="str">
        <f>IF($D16="","",SUMIFS(Weights!$AA:$AA,Weights!$C:$C,$F16))</f>
        <v/>
      </c>
      <c r="AC16" s="4" t="str">
        <f>IF($D16="","",SUMIFS(Weights!$AB:$AB,Weights!$C:$C,$F16))</f>
        <v/>
      </c>
      <c r="AD16" s="4" t="str">
        <f>IF($D16="","",SUMIFS(Weights!$AC:$AC,Weights!$C:$C,$F16))</f>
        <v/>
      </c>
      <c r="AE16" s="4" t="str">
        <f>IF($D16="","",SUMIFS(Weights!$AD:$AD,Weights!$C:$C,$F16))</f>
        <v/>
      </c>
      <c r="AF16" s="4" t="str">
        <f>IF($D16="","",SUMIFS(Weights!$AE:$AE,Weights!$C:$C,$F16))</f>
        <v/>
      </c>
      <c r="AG16" s="4" t="str">
        <f>IF($D16="","",SUMIFS(Weights!$AF:$AF,Weights!$C:$C,$F16))</f>
        <v/>
      </c>
      <c r="AH16" s="4" t="str">
        <f>IF($D16="","",SUMIFS(Weights!$AG:$AG,Weights!$C:$C,$F16))</f>
        <v/>
      </c>
      <c r="AI16" s="4" t="str">
        <f>IF($D16="","",SUMIFS(Weights!$AH:$AH,Weights!$C:$C,$F16))</f>
        <v/>
      </c>
      <c r="AJ16" s="4" t="str">
        <f>IF($D16="","",SUMIFS(Weights!$AI:$AI,Weights!$C:$C,$F16))</f>
        <v/>
      </c>
      <c r="AK16" s="4" t="str">
        <f>IF($D16="","",SUMIFS(Weights!$AJ:$AJ,Weights!$C:$C,$F16))</f>
        <v/>
      </c>
      <c r="AL16" s="4" t="str">
        <f>IF($D16="","",SUMIFS(Weights!$AK:$AK,Weights!$C:$C,$F16))</f>
        <v/>
      </c>
      <c r="AM16" s="4" t="str">
        <f>IF($D16="","",SUMIFS(Weights!$AL:$AL,Weights!$C:$C,$F16))</f>
        <v/>
      </c>
    </row>
    <row r="17" spans="1:39" x14ac:dyDescent="0.25">
      <c r="A17" s="4">
        <v>16</v>
      </c>
      <c r="B17" s="4" t="s">
        <v>92</v>
      </c>
      <c r="C17" s="4" t="s">
        <v>93</v>
      </c>
      <c r="D17" s="5" t="s">
        <v>878</v>
      </c>
      <c r="E17" s="4" t="str">
        <f>IF(D17="","",INDEX(Questions!$D$2:$G$81,MATCH(A17,Questions!$A$2:$A$81,0),MATCH(D17,{"A","B","C","D"},0)))</f>
        <v/>
      </c>
      <c r="F17" s="4" t="str">
        <f t="shared" si="0"/>
        <v>16|</v>
      </c>
      <c r="G17" s="4" t="str">
        <f>IF($D17="","",SUMIFS(Weights!$F:$F,Weights!$C:$C,$F17))</f>
        <v/>
      </c>
      <c r="H17" s="4" t="str">
        <f>IF($D17="","",SUMIFS(Weights!$G:$G,Weights!$C:$C,$F17))</f>
        <v/>
      </c>
      <c r="I17" s="4" t="str">
        <f>IF($D17="","",SUMIFS(Weights!$H:$H,Weights!$C:$C,$F17))</f>
        <v/>
      </c>
      <c r="J17" s="4" t="str">
        <f>IF($D17="","",SUMIFS(Weights!$I:$I,Weights!$C:$C,$F17))</f>
        <v/>
      </c>
      <c r="K17" s="4" t="str">
        <f>IF($D17="","",SUMIFS(Weights!$J:$J,Weights!$C:$C,$F17))</f>
        <v/>
      </c>
      <c r="L17" s="4" t="str">
        <f>IF($D17="","",SUMIFS(Weights!$K:$K,Weights!$C:$C,$F17))</f>
        <v/>
      </c>
      <c r="M17" s="4" t="str">
        <f>IF($D17="","",SUMIFS(Weights!$L:$L,Weights!$C:$C,$F17))</f>
        <v/>
      </c>
      <c r="N17" s="4" t="str">
        <f>IF($D17="","",SUMIFS(Weights!$M:$M,Weights!$C:$C,$F17))</f>
        <v/>
      </c>
      <c r="O17" s="4" t="str">
        <f>IF($D17="","",SUMIFS(Weights!$N:$N,Weights!$C:$C,$F17))</f>
        <v/>
      </c>
      <c r="P17" s="4" t="str">
        <f>IF($D17="","",SUMIFS(Weights!$O:$O,Weights!$C:$C,$F17))</f>
        <v/>
      </c>
      <c r="Q17" s="4" t="str">
        <f>IF($D17="","",SUMIFS(Weights!$P:$P,Weights!$C:$C,$F17))</f>
        <v/>
      </c>
      <c r="R17" s="4" t="str">
        <f>IF($D17="","",SUMIFS(Weights!$Q:$Q,Weights!$C:$C,$F17))</f>
        <v/>
      </c>
      <c r="S17" s="4" t="str">
        <f>IF($D17="","",SUMIFS(Weights!$R:$R,Weights!$C:$C,$F17))</f>
        <v/>
      </c>
      <c r="T17" s="4" t="str">
        <f>IF($D17="","",SUMIFS(Weights!$S:$S,Weights!$C:$C,$F17))</f>
        <v/>
      </c>
      <c r="U17" s="4" t="str">
        <f>IF($D17="","",SUMIFS(Weights!$T:$T,Weights!$C:$C,$F17))</f>
        <v/>
      </c>
      <c r="V17" s="4" t="str">
        <f>IF($D17="","",SUMIFS(Weights!$U:$U,Weights!$C:$C,$F17))</f>
        <v/>
      </c>
      <c r="W17" s="4" t="str">
        <f>IF($D17="","",SUMIFS(Weights!$V:$V,Weights!$C:$C,$F17))</f>
        <v/>
      </c>
      <c r="X17" s="4" t="str">
        <f>IF($D17="","",SUMIFS(Weights!$W:$W,Weights!$C:$C,$F17))</f>
        <v/>
      </c>
      <c r="Y17" s="4" t="str">
        <f>IF($D17="","",SUMIFS(Weights!$X:$X,Weights!$C:$C,$F17))</f>
        <v/>
      </c>
      <c r="Z17" s="4" t="str">
        <f>IF($D17="","",SUMIFS(Weights!$Y:$Y,Weights!$C:$C,$F17))</f>
        <v/>
      </c>
      <c r="AA17" s="4" t="str">
        <f>IF($D17="","",SUMIFS(Weights!$Z:$Z,Weights!$C:$C,$F17))</f>
        <v/>
      </c>
      <c r="AB17" s="4" t="str">
        <f>IF($D17="","",SUMIFS(Weights!$AA:$AA,Weights!$C:$C,$F17))</f>
        <v/>
      </c>
      <c r="AC17" s="4" t="str">
        <f>IF($D17="","",SUMIFS(Weights!$AB:$AB,Weights!$C:$C,$F17))</f>
        <v/>
      </c>
      <c r="AD17" s="4" t="str">
        <f>IF($D17="","",SUMIFS(Weights!$AC:$AC,Weights!$C:$C,$F17))</f>
        <v/>
      </c>
      <c r="AE17" s="4" t="str">
        <f>IF($D17="","",SUMIFS(Weights!$AD:$AD,Weights!$C:$C,$F17))</f>
        <v/>
      </c>
      <c r="AF17" s="4" t="str">
        <f>IF($D17="","",SUMIFS(Weights!$AE:$AE,Weights!$C:$C,$F17))</f>
        <v/>
      </c>
      <c r="AG17" s="4" t="str">
        <f>IF($D17="","",SUMIFS(Weights!$AF:$AF,Weights!$C:$C,$F17))</f>
        <v/>
      </c>
      <c r="AH17" s="4" t="str">
        <f>IF($D17="","",SUMIFS(Weights!$AG:$AG,Weights!$C:$C,$F17))</f>
        <v/>
      </c>
      <c r="AI17" s="4" t="str">
        <f>IF($D17="","",SUMIFS(Weights!$AH:$AH,Weights!$C:$C,$F17))</f>
        <v/>
      </c>
      <c r="AJ17" s="4" t="str">
        <f>IF($D17="","",SUMIFS(Weights!$AI:$AI,Weights!$C:$C,$F17))</f>
        <v/>
      </c>
      <c r="AK17" s="4" t="str">
        <f>IF($D17="","",SUMIFS(Weights!$AJ:$AJ,Weights!$C:$C,$F17))</f>
        <v/>
      </c>
      <c r="AL17" s="4" t="str">
        <f>IF($D17="","",SUMIFS(Weights!$AK:$AK,Weights!$C:$C,$F17))</f>
        <v/>
      </c>
      <c r="AM17" s="4" t="str">
        <f>IF($D17="","",SUMIFS(Weights!$AL:$AL,Weights!$C:$C,$F17))</f>
        <v/>
      </c>
    </row>
    <row r="18" spans="1:39" x14ac:dyDescent="0.25">
      <c r="A18" s="4">
        <v>17</v>
      </c>
      <c r="B18" s="4" t="s">
        <v>92</v>
      </c>
      <c r="C18" s="4" t="s">
        <v>98</v>
      </c>
      <c r="D18" s="5" t="s">
        <v>878</v>
      </c>
      <c r="E18" s="4" t="str">
        <f>IF(D18="","",INDEX(Questions!$D$2:$G$81,MATCH(A18,Questions!$A$2:$A$81,0),MATCH(D18,{"A","B","C","D"},0)))</f>
        <v/>
      </c>
      <c r="F18" s="4" t="str">
        <f t="shared" si="0"/>
        <v>17|</v>
      </c>
      <c r="G18" s="4" t="str">
        <f>IF($D18="","",SUMIFS(Weights!$F:$F,Weights!$C:$C,$F18))</f>
        <v/>
      </c>
      <c r="H18" s="4" t="str">
        <f>IF($D18="","",SUMIFS(Weights!$G:$G,Weights!$C:$C,$F18))</f>
        <v/>
      </c>
      <c r="I18" s="4" t="str">
        <f>IF($D18="","",SUMIFS(Weights!$H:$H,Weights!$C:$C,$F18))</f>
        <v/>
      </c>
      <c r="J18" s="4" t="str">
        <f>IF($D18="","",SUMIFS(Weights!$I:$I,Weights!$C:$C,$F18))</f>
        <v/>
      </c>
      <c r="K18" s="4" t="str">
        <f>IF($D18="","",SUMIFS(Weights!$J:$J,Weights!$C:$C,$F18))</f>
        <v/>
      </c>
      <c r="L18" s="4" t="str">
        <f>IF($D18="","",SUMIFS(Weights!$K:$K,Weights!$C:$C,$F18))</f>
        <v/>
      </c>
      <c r="M18" s="4" t="str">
        <f>IF($D18="","",SUMIFS(Weights!$L:$L,Weights!$C:$C,$F18))</f>
        <v/>
      </c>
      <c r="N18" s="4" t="str">
        <f>IF($D18="","",SUMIFS(Weights!$M:$M,Weights!$C:$C,$F18))</f>
        <v/>
      </c>
      <c r="O18" s="4" t="str">
        <f>IF($D18="","",SUMIFS(Weights!$N:$N,Weights!$C:$C,$F18))</f>
        <v/>
      </c>
      <c r="P18" s="4" t="str">
        <f>IF($D18="","",SUMIFS(Weights!$O:$O,Weights!$C:$C,$F18))</f>
        <v/>
      </c>
      <c r="Q18" s="4" t="str">
        <f>IF($D18="","",SUMIFS(Weights!$P:$P,Weights!$C:$C,$F18))</f>
        <v/>
      </c>
      <c r="R18" s="4" t="str">
        <f>IF($D18="","",SUMIFS(Weights!$Q:$Q,Weights!$C:$C,$F18))</f>
        <v/>
      </c>
      <c r="S18" s="4" t="str">
        <f>IF($D18="","",SUMIFS(Weights!$R:$R,Weights!$C:$C,$F18))</f>
        <v/>
      </c>
      <c r="T18" s="4" t="str">
        <f>IF($D18="","",SUMIFS(Weights!$S:$S,Weights!$C:$C,$F18))</f>
        <v/>
      </c>
      <c r="U18" s="4" t="str">
        <f>IF($D18="","",SUMIFS(Weights!$T:$T,Weights!$C:$C,$F18))</f>
        <v/>
      </c>
      <c r="V18" s="4" t="str">
        <f>IF($D18="","",SUMIFS(Weights!$U:$U,Weights!$C:$C,$F18))</f>
        <v/>
      </c>
      <c r="W18" s="4" t="str">
        <f>IF($D18="","",SUMIFS(Weights!$V:$V,Weights!$C:$C,$F18))</f>
        <v/>
      </c>
      <c r="X18" s="4" t="str">
        <f>IF($D18="","",SUMIFS(Weights!$W:$W,Weights!$C:$C,$F18))</f>
        <v/>
      </c>
      <c r="Y18" s="4" t="str">
        <f>IF($D18="","",SUMIFS(Weights!$X:$X,Weights!$C:$C,$F18))</f>
        <v/>
      </c>
      <c r="Z18" s="4" t="str">
        <f>IF($D18="","",SUMIFS(Weights!$Y:$Y,Weights!$C:$C,$F18))</f>
        <v/>
      </c>
      <c r="AA18" s="4" t="str">
        <f>IF($D18="","",SUMIFS(Weights!$Z:$Z,Weights!$C:$C,$F18))</f>
        <v/>
      </c>
      <c r="AB18" s="4" t="str">
        <f>IF($D18="","",SUMIFS(Weights!$AA:$AA,Weights!$C:$C,$F18))</f>
        <v/>
      </c>
      <c r="AC18" s="4" t="str">
        <f>IF($D18="","",SUMIFS(Weights!$AB:$AB,Weights!$C:$C,$F18))</f>
        <v/>
      </c>
      <c r="AD18" s="4" t="str">
        <f>IF($D18="","",SUMIFS(Weights!$AC:$AC,Weights!$C:$C,$F18))</f>
        <v/>
      </c>
      <c r="AE18" s="4" t="str">
        <f>IF($D18="","",SUMIFS(Weights!$AD:$AD,Weights!$C:$C,$F18))</f>
        <v/>
      </c>
      <c r="AF18" s="4" t="str">
        <f>IF($D18="","",SUMIFS(Weights!$AE:$AE,Weights!$C:$C,$F18))</f>
        <v/>
      </c>
      <c r="AG18" s="4" t="str">
        <f>IF($D18="","",SUMIFS(Weights!$AF:$AF,Weights!$C:$C,$F18))</f>
        <v/>
      </c>
      <c r="AH18" s="4" t="str">
        <f>IF($D18="","",SUMIFS(Weights!$AG:$AG,Weights!$C:$C,$F18))</f>
        <v/>
      </c>
      <c r="AI18" s="4" t="str">
        <f>IF($D18="","",SUMIFS(Weights!$AH:$AH,Weights!$C:$C,$F18))</f>
        <v/>
      </c>
      <c r="AJ18" s="4" t="str">
        <f>IF($D18="","",SUMIFS(Weights!$AI:$AI,Weights!$C:$C,$F18))</f>
        <v/>
      </c>
      <c r="AK18" s="4" t="str">
        <f>IF($D18="","",SUMIFS(Weights!$AJ:$AJ,Weights!$C:$C,$F18))</f>
        <v/>
      </c>
      <c r="AL18" s="4" t="str">
        <f>IF($D18="","",SUMIFS(Weights!$AK:$AK,Weights!$C:$C,$F18))</f>
        <v/>
      </c>
      <c r="AM18" s="4" t="str">
        <f>IF($D18="","",SUMIFS(Weights!$AL:$AL,Weights!$C:$C,$F18))</f>
        <v/>
      </c>
    </row>
    <row r="19" spans="1:39" x14ac:dyDescent="0.25">
      <c r="A19" s="4">
        <v>18</v>
      </c>
      <c r="B19" s="4" t="s">
        <v>92</v>
      </c>
      <c r="C19" s="4" t="s">
        <v>103</v>
      </c>
      <c r="D19" s="5" t="s">
        <v>878</v>
      </c>
      <c r="E19" s="4" t="str">
        <f>IF(D19="","",INDEX(Questions!$D$2:$G$81,MATCH(A19,Questions!$A$2:$A$81,0),MATCH(D19,{"A","B","C","D"},0)))</f>
        <v/>
      </c>
      <c r="F19" s="4" t="str">
        <f t="shared" si="0"/>
        <v>18|</v>
      </c>
      <c r="G19" s="4" t="str">
        <f>IF($D19="","",SUMIFS(Weights!$F:$F,Weights!$C:$C,$F19))</f>
        <v/>
      </c>
      <c r="H19" s="4" t="str">
        <f>IF($D19="","",SUMIFS(Weights!$G:$G,Weights!$C:$C,$F19))</f>
        <v/>
      </c>
      <c r="I19" s="4" t="str">
        <f>IF($D19="","",SUMIFS(Weights!$H:$H,Weights!$C:$C,$F19))</f>
        <v/>
      </c>
      <c r="J19" s="4" t="str">
        <f>IF($D19="","",SUMIFS(Weights!$I:$I,Weights!$C:$C,$F19))</f>
        <v/>
      </c>
      <c r="K19" s="4" t="str">
        <f>IF($D19="","",SUMIFS(Weights!$J:$J,Weights!$C:$C,$F19))</f>
        <v/>
      </c>
      <c r="L19" s="4" t="str">
        <f>IF($D19="","",SUMIFS(Weights!$K:$K,Weights!$C:$C,$F19))</f>
        <v/>
      </c>
      <c r="M19" s="4" t="str">
        <f>IF($D19="","",SUMIFS(Weights!$L:$L,Weights!$C:$C,$F19))</f>
        <v/>
      </c>
      <c r="N19" s="4" t="str">
        <f>IF($D19="","",SUMIFS(Weights!$M:$M,Weights!$C:$C,$F19))</f>
        <v/>
      </c>
      <c r="O19" s="4" t="str">
        <f>IF($D19="","",SUMIFS(Weights!$N:$N,Weights!$C:$C,$F19))</f>
        <v/>
      </c>
      <c r="P19" s="4" t="str">
        <f>IF($D19="","",SUMIFS(Weights!$O:$O,Weights!$C:$C,$F19))</f>
        <v/>
      </c>
      <c r="Q19" s="4" t="str">
        <f>IF($D19="","",SUMIFS(Weights!$P:$P,Weights!$C:$C,$F19))</f>
        <v/>
      </c>
      <c r="R19" s="4" t="str">
        <f>IF($D19="","",SUMIFS(Weights!$Q:$Q,Weights!$C:$C,$F19))</f>
        <v/>
      </c>
      <c r="S19" s="4" t="str">
        <f>IF($D19="","",SUMIFS(Weights!$R:$R,Weights!$C:$C,$F19))</f>
        <v/>
      </c>
      <c r="T19" s="4" t="str">
        <f>IF($D19="","",SUMIFS(Weights!$S:$S,Weights!$C:$C,$F19))</f>
        <v/>
      </c>
      <c r="U19" s="4" t="str">
        <f>IF($D19="","",SUMIFS(Weights!$T:$T,Weights!$C:$C,$F19))</f>
        <v/>
      </c>
      <c r="V19" s="4" t="str">
        <f>IF($D19="","",SUMIFS(Weights!$U:$U,Weights!$C:$C,$F19))</f>
        <v/>
      </c>
      <c r="W19" s="4" t="str">
        <f>IF($D19="","",SUMIFS(Weights!$V:$V,Weights!$C:$C,$F19))</f>
        <v/>
      </c>
      <c r="X19" s="4" t="str">
        <f>IF($D19="","",SUMIFS(Weights!$W:$W,Weights!$C:$C,$F19))</f>
        <v/>
      </c>
      <c r="Y19" s="4" t="str">
        <f>IF($D19="","",SUMIFS(Weights!$X:$X,Weights!$C:$C,$F19))</f>
        <v/>
      </c>
      <c r="Z19" s="4" t="str">
        <f>IF($D19="","",SUMIFS(Weights!$Y:$Y,Weights!$C:$C,$F19))</f>
        <v/>
      </c>
      <c r="AA19" s="4" t="str">
        <f>IF($D19="","",SUMIFS(Weights!$Z:$Z,Weights!$C:$C,$F19))</f>
        <v/>
      </c>
      <c r="AB19" s="4" t="str">
        <f>IF($D19="","",SUMIFS(Weights!$AA:$AA,Weights!$C:$C,$F19))</f>
        <v/>
      </c>
      <c r="AC19" s="4" t="str">
        <f>IF($D19="","",SUMIFS(Weights!$AB:$AB,Weights!$C:$C,$F19))</f>
        <v/>
      </c>
      <c r="AD19" s="4" t="str">
        <f>IF($D19="","",SUMIFS(Weights!$AC:$AC,Weights!$C:$C,$F19))</f>
        <v/>
      </c>
      <c r="AE19" s="4" t="str">
        <f>IF($D19="","",SUMIFS(Weights!$AD:$AD,Weights!$C:$C,$F19))</f>
        <v/>
      </c>
      <c r="AF19" s="4" t="str">
        <f>IF($D19="","",SUMIFS(Weights!$AE:$AE,Weights!$C:$C,$F19))</f>
        <v/>
      </c>
      <c r="AG19" s="4" t="str">
        <f>IF($D19="","",SUMIFS(Weights!$AF:$AF,Weights!$C:$C,$F19))</f>
        <v/>
      </c>
      <c r="AH19" s="4" t="str">
        <f>IF($D19="","",SUMIFS(Weights!$AG:$AG,Weights!$C:$C,$F19))</f>
        <v/>
      </c>
      <c r="AI19" s="4" t="str">
        <f>IF($D19="","",SUMIFS(Weights!$AH:$AH,Weights!$C:$C,$F19))</f>
        <v/>
      </c>
      <c r="AJ19" s="4" t="str">
        <f>IF($D19="","",SUMIFS(Weights!$AI:$AI,Weights!$C:$C,$F19))</f>
        <v/>
      </c>
      <c r="AK19" s="4" t="str">
        <f>IF($D19="","",SUMIFS(Weights!$AJ:$AJ,Weights!$C:$C,$F19))</f>
        <v/>
      </c>
      <c r="AL19" s="4" t="str">
        <f>IF($D19="","",SUMIFS(Weights!$AK:$AK,Weights!$C:$C,$F19))</f>
        <v/>
      </c>
      <c r="AM19" s="4" t="str">
        <f>IF($D19="","",SUMIFS(Weights!$AL:$AL,Weights!$C:$C,$F19))</f>
        <v/>
      </c>
    </row>
    <row r="20" spans="1:39" x14ac:dyDescent="0.25">
      <c r="A20" s="4">
        <v>19</v>
      </c>
      <c r="B20" s="4" t="s">
        <v>92</v>
      </c>
      <c r="C20" s="4" t="s">
        <v>108</v>
      </c>
      <c r="D20" s="5" t="s">
        <v>878</v>
      </c>
      <c r="E20" s="4" t="str">
        <f>IF(D20="","",INDEX(Questions!$D$2:$G$81,MATCH(A20,Questions!$A$2:$A$81,0),MATCH(D20,{"A","B","C","D"},0)))</f>
        <v/>
      </c>
      <c r="F20" s="4" t="str">
        <f t="shared" si="0"/>
        <v>19|</v>
      </c>
      <c r="G20" s="4" t="str">
        <f>IF($D20="","",SUMIFS(Weights!$F:$F,Weights!$C:$C,$F20))</f>
        <v/>
      </c>
      <c r="H20" s="4" t="str">
        <f>IF($D20="","",SUMIFS(Weights!$G:$G,Weights!$C:$C,$F20))</f>
        <v/>
      </c>
      <c r="I20" s="4" t="str">
        <f>IF($D20="","",SUMIFS(Weights!$H:$H,Weights!$C:$C,$F20))</f>
        <v/>
      </c>
      <c r="J20" s="4" t="str">
        <f>IF($D20="","",SUMIFS(Weights!$I:$I,Weights!$C:$C,$F20))</f>
        <v/>
      </c>
      <c r="K20" s="4" t="str">
        <f>IF($D20="","",SUMIFS(Weights!$J:$J,Weights!$C:$C,$F20))</f>
        <v/>
      </c>
      <c r="L20" s="4" t="str">
        <f>IF($D20="","",SUMIFS(Weights!$K:$K,Weights!$C:$C,$F20))</f>
        <v/>
      </c>
      <c r="M20" s="4" t="str">
        <f>IF($D20="","",SUMIFS(Weights!$L:$L,Weights!$C:$C,$F20))</f>
        <v/>
      </c>
      <c r="N20" s="4" t="str">
        <f>IF($D20="","",SUMIFS(Weights!$M:$M,Weights!$C:$C,$F20))</f>
        <v/>
      </c>
      <c r="O20" s="4" t="str">
        <f>IF($D20="","",SUMIFS(Weights!$N:$N,Weights!$C:$C,$F20))</f>
        <v/>
      </c>
      <c r="P20" s="4" t="str">
        <f>IF($D20="","",SUMIFS(Weights!$O:$O,Weights!$C:$C,$F20))</f>
        <v/>
      </c>
      <c r="Q20" s="4" t="str">
        <f>IF($D20="","",SUMIFS(Weights!$P:$P,Weights!$C:$C,$F20))</f>
        <v/>
      </c>
      <c r="R20" s="4" t="str">
        <f>IF($D20="","",SUMIFS(Weights!$Q:$Q,Weights!$C:$C,$F20))</f>
        <v/>
      </c>
      <c r="S20" s="4" t="str">
        <f>IF($D20="","",SUMIFS(Weights!$R:$R,Weights!$C:$C,$F20))</f>
        <v/>
      </c>
      <c r="T20" s="4" t="str">
        <f>IF($D20="","",SUMIFS(Weights!$S:$S,Weights!$C:$C,$F20))</f>
        <v/>
      </c>
      <c r="U20" s="4" t="str">
        <f>IF($D20="","",SUMIFS(Weights!$T:$T,Weights!$C:$C,$F20))</f>
        <v/>
      </c>
      <c r="V20" s="4" t="str">
        <f>IF($D20="","",SUMIFS(Weights!$U:$U,Weights!$C:$C,$F20))</f>
        <v/>
      </c>
      <c r="W20" s="4" t="str">
        <f>IF($D20="","",SUMIFS(Weights!$V:$V,Weights!$C:$C,$F20))</f>
        <v/>
      </c>
      <c r="X20" s="4" t="str">
        <f>IF($D20="","",SUMIFS(Weights!$W:$W,Weights!$C:$C,$F20))</f>
        <v/>
      </c>
      <c r="Y20" s="4" t="str">
        <f>IF($D20="","",SUMIFS(Weights!$X:$X,Weights!$C:$C,$F20))</f>
        <v/>
      </c>
      <c r="Z20" s="4" t="str">
        <f>IF($D20="","",SUMIFS(Weights!$Y:$Y,Weights!$C:$C,$F20))</f>
        <v/>
      </c>
      <c r="AA20" s="4" t="str">
        <f>IF($D20="","",SUMIFS(Weights!$Z:$Z,Weights!$C:$C,$F20))</f>
        <v/>
      </c>
      <c r="AB20" s="4" t="str">
        <f>IF($D20="","",SUMIFS(Weights!$AA:$AA,Weights!$C:$C,$F20))</f>
        <v/>
      </c>
      <c r="AC20" s="4" t="str">
        <f>IF($D20="","",SUMIFS(Weights!$AB:$AB,Weights!$C:$C,$F20))</f>
        <v/>
      </c>
      <c r="AD20" s="4" t="str">
        <f>IF($D20="","",SUMIFS(Weights!$AC:$AC,Weights!$C:$C,$F20))</f>
        <v/>
      </c>
      <c r="AE20" s="4" t="str">
        <f>IF($D20="","",SUMIFS(Weights!$AD:$AD,Weights!$C:$C,$F20))</f>
        <v/>
      </c>
      <c r="AF20" s="4" t="str">
        <f>IF($D20="","",SUMIFS(Weights!$AE:$AE,Weights!$C:$C,$F20))</f>
        <v/>
      </c>
      <c r="AG20" s="4" t="str">
        <f>IF($D20="","",SUMIFS(Weights!$AF:$AF,Weights!$C:$C,$F20))</f>
        <v/>
      </c>
      <c r="AH20" s="4" t="str">
        <f>IF($D20="","",SUMIFS(Weights!$AG:$AG,Weights!$C:$C,$F20))</f>
        <v/>
      </c>
      <c r="AI20" s="4" t="str">
        <f>IF($D20="","",SUMIFS(Weights!$AH:$AH,Weights!$C:$C,$F20))</f>
        <v/>
      </c>
      <c r="AJ20" s="4" t="str">
        <f>IF($D20="","",SUMIFS(Weights!$AI:$AI,Weights!$C:$C,$F20))</f>
        <v/>
      </c>
      <c r="AK20" s="4" t="str">
        <f>IF($D20="","",SUMIFS(Weights!$AJ:$AJ,Weights!$C:$C,$F20))</f>
        <v/>
      </c>
      <c r="AL20" s="4" t="str">
        <f>IF($D20="","",SUMIFS(Weights!$AK:$AK,Weights!$C:$C,$F20))</f>
        <v/>
      </c>
      <c r="AM20" s="4" t="str">
        <f>IF($D20="","",SUMIFS(Weights!$AL:$AL,Weights!$C:$C,$F20))</f>
        <v/>
      </c>
    </row>
    <row r="21" spans="1:39" x14ac:dyDescent="0.25">
      <c r="A21" s="4">
        <v>20</v>
      </c>
      <c r="B21" s="4" t="s">
        <v>92</v>
      </c>
      <c r="C21" s="4" t="s">
        <v>113</v>
      </c>
      <c r="D21" s="5" t="s">
        <v>878</v>
      </c>
      <c r="E21" s="4" t="str">
        <f>IF(D21="","",INDEX(Questions!$D$2:$G$81,MATCH(A21,Questions!$A$2:$A$81,0),MATCH(D21,{"A","B","C","D"},0)))</f>
        <v/>
      </c>
      <c r="F21" s="4" t="str">
        <f t="shared" si="0"/>
        <v>20|</v>
      </c>
      <c r="G21" s="4" t="str">
        <f>IF($D21="","",SUMIFS(Weights!$F:$F,Weights!$C:$C,$F21))</f>
        <v/>
      </c>
      <c r="H21" s="4" t="str">
        <f>IF($D21="","",SUMIFS(Weights!$G:$G,Weights!$C:$C,$F21))</f>
        <v/>
      </c>
      <c r="I21" s="4" t="str">
        <f>IF($D21="","",SUMIFS(Weights!$H:$H,Weights!$C:$C,$F21))</f>
        <v/>
      </c>
      <c r="J21" s="4" t="str">
        <f>IF($D21="","",SUMIFS(Weights!$I:$I,Weights!$C:$C,$F21))</f>
        <v/>
      </c>
      <c r="K21" s="4" t="str">
        <f>IF($D21="","",SUMIFS(Weights!$J:$J,Weights!$C:$C,$F21))</f>
        <v/>
      </c>
      <c r="L21" s="4" t="str">
        <f>IF($D21="","",SUMIFS(Weights!$K:$K,Weights!$C:$C,$F21))</f>
        <v/>
      </c>
      <c r="M21" s="4" t="str">
        <f>IF($D21="","",SUMIFS(Weights!$L:$L,Weights!$C:$C,$F21))</f>
        <v/>
      </c>
      <c r="N21" s="4" t="str">
        <f>IF($D21="","",SUMIFS(Weights!$M:$M,Weights!$C:$C,$F21))</f>
        <v/>
      </c>
      <c r="O21" s="4" t="str">
        <f>IF($D21="","",SUMIFS(Weights!$N:$N,Weights!$C:$C,$F21))</f>
        <v/>
      </c>
      <c r="P21" s="4" t="str">
        <f>IF($D21="","",SUMIFS(Weights!$O:$O,Weights!$C:$C,$F21))</f>
        <v/>
      </c>
      <c r="Q21" s="4" t="str">
        <f>IF($D21="","",SUMIFS(Weights!$P:$P,Weights!$C:$C,$F21))</f>
        <v/>
      </c>
      <c r="R21" s="4" t="str">
        <f>IF($D21="","",SUMIFS(Weights!$Q:$Q,Weights!$C:$C,$F21))</f>
        <v/>
      </c>
      <c r="S21" s="4" t="str">
        <f>IF($D21="","",SUMIFS(Weights!$R:$R,Weights!$C:$C,$F21))</f>
        <v/>
      </c>
      <c r="T21" s="4" t="str">
        <f>IF($D21="","",SUMIFS(Weights!$S:$S,Weights!$C:$C,$F21))</f>
        <v/>
      </c>
      <c r="U21" s="4" t="str">
        <f>IF($D21="","",SUMIFS(Weights!$T:$T,Weights!$C:$C,$F21))</f>
        <v/>
      </c>
      <c r="V21" s="4" t="str">
        <f>IF($D21="","",SUMIFS(Weights!$U:$U,Weights!$C:$C,$F21))</f>
        <v/>
      </c>
      <c r="W21" s="4" t="str">
        <f>IF($D21="","",SUMIFS(Weights!$V:$V,Weights!$C:$C,$F21))</f>
        <v/>
      </c>
      <c r="X21" s="4" t="str">
        <f>IF($D21="","",SUMIFS(Weights!$W:$W,Weights!$C:$C,$F21))</f>
        <v/>
      </c>
      <c r="Y21" s="4" t="str">
        <f>IF($D21="","",SUMIFS(Weights!$X:$X,Weights!$C:$C,$F21))</f>
        <v/>
      </c>
      <c r="Z21" s="4" t="str">
        <f>IF($D21="","",SUMIFS(Weights!$Y:$Y,Weights!$C:$C,$F21))</f>
        <v/>
      </c>
      <c r="AA21" s="4" t="str">
        <f>IF($D21="","",SUMIFS(Weights!$Z:$Z,Weights!$C:$C,$F21))</f>
        <v/>
      </c>
      <c r="AB21" s="4" t="str">
        <f>IF($D21="","",SUMIFS(Weights!$AA:$AA,Weights!$C:$C,$F21))</f>
        <v/>
      </c>
      <c r="AC21" s="4" t="str">
        <f>IF($D21="","",SUMIFS(Weights!$AB:$AB,Weights!$C:$C,$F21))</f>
        <v/>
      </c>
      <c r="AD21" s="4" t="str">
        <f>IF($D21="","",SUMIFS(Weights!$AC:$AC,Weights!$C:$C,$F21))</f>
        <v/>
      </c>
      <c r="AE21" s="4" t="str">
        <f>IF($D21="","",SUMIFS(Weights!$AD:$AD,Weights!$C:$C,$F21))</f>
        <v/>
      </c>
      <c r="AF21" s="4" t="str">
        <f>IF($D21="","",SUMIFS(Weights!$AE:$AE,Weights!$C:$C,$F21))</f>
        <v/>
      </c>
      <c r="AG21" s="4" t="str">
        <f>IF($D21="","",SUMIFS(Weights!$AF:$AF,Weights!$C:$C,$F21))</f>
        <v/>
      </c>
      <c r="AH21" s="4" t="str">
        <f>IF($D21="","",SUMIFS(Weights!$AG:$AG,Weights!$C:$C,$F21))</f>
        <v/>
      </c>
      <c r="AI21" s="4" t="str">
        <f>IF($D21="","",SUMIFS(Weights!$AH:$AH,Weights!$C:$C,$F21))</f>
        <v/>
      </c>
      <c r="AJ21" s="4" t="str">
        <f>IF($D21="","",SUMIFS(Weights!$AI:$AI,Weights!$C:$C,$F21))</f>
        <v/>
      </c>
      <c r="AK21" s="4" t="str">
        <f>IF($D21="","",SUMIFS(Weights!$AJ:$AJ,Weights!$C:$C,$F21))</f>
        <v/>
      </c>
      <c r="AL21" s="4" t="str">
        <f>IF($D21="","",SUMIFS(Weights!$AK:$AK,Weights!$C:$C,$F21))</f>
        <v/>
      </c>
      <c r="AM21" s="4" t="str">
        <f>IF($D21="","",SUMIFS(Weights!$AL:$AL,Weights!$C:$C,$F21))</f>
        <v/>
      </c>
    </row>
    <row r="22" spans="1:39" x14ac:dyDescent="0.25">
      <c r="A22" s="4">
        <v>21</v>
      </c>
      <c r="B22" s="4" t="s">
        <v>92</v>
      </c>
      <c r="C22" s="4" t="s">
        <v>118</v>
      </c>
      <c r="D22" s="5" t="s">
        <v>878</v>
      </c>
      <c r="E22" s="4" t="str">
        <f>IF(D22="","",INDEX(Questions!$D$2:$G$81,MATCH(A22,Questions!$A$2:$A$81,0),MATCH(D22,{"A","B","C","D"},0)))</f>
        <v/>
      </c>
      <c r="F22" s="4" t="str">
        <f t="shared" si="0"/>
        <v>21|</v>
      </c>
      <c r="G22" s="4" t="str">
        <f>IF($D22="","",SUMIFS(Weights!$F:$F,Weights!$C:$C,$F22))</f>
        <v/>
      </c>
      <c r="H22" s="4" t="str">
        <f>IF($D22="","",SUMIFS(Weights!$G:$G,Weights!$C:$C,$F22))</f>
        <v/>
      </c>
      <c r="I22" s="4" t="str">
        <f>IF($D22="","",SUMIFS(Weights!$H:$H,Weights!$C:$C,$F22))</f>
        <v/>
      </c>
      <c r="J22" s="4" t="str">
        <f>IF($D22="","",SUMIFS(Weights!$I:$I,Weights!$C:$C,$F22))</f>
        <v/>
      </c>
      <c r="K22" s="4" t="str">
        <f>IF($D22="","",SUMIFS(Weights!$J:$J,Weights!$C:$C,$F22))</f>
        <v/>
      </c>
      <c r="L22" s="4" t="str">
        <f>IF($D22="","",SUMIFS(Weights!$K:$K,Weights!$C:$C,$F22))</f>
        <v/>
      </c>
      <c r="M22" s="4" t="str">
        <f>IF($D22="","",SUMIFS(Weights!$L:$L,Weights!$C:$C,$F22))</f>
        <v/>
      </c>
      <c r="N22" s="4" t="str">
        <f>IF($D22="","",SUMIFS(Weights!$M:$M,Weights!$C:$C,$F22))</f>
        <v/>
      </c>
      <c r="O22" s="4" t="str">
        <f>IF($D22="","",SUMIFS(Weights!$N:$N,Weights!$C:$C,$F22))</f>
        <v/>
      </c>
      <c r="P22" s="4" t="str">
        <f>IF($D22="","",SUMIFS(Weights!$O:$O,Weights!$C:$C,$F22))</f>
        <v/>
      </c>
      <c r="Q22" s="4" t="str">
        <f>IF($D22="","",SUMIFS(Weights!$P:$P,Weights!$C:$C,$F22))</f>
        <v/>
      </c>
      <c r="R22" s="4" t="str">
        <f>IF($D22="","",SUMIFS(Weights!$Q:$Q,Weights!$C:$C,$F22))</f>
        <v/>
      </c>
      <c r="S22" s="4" t="str">
        <f>IF($D22="","",SUMIFS(Weights!$R:$R,Weights!$C:$C,$F22))</f>
        <v/>
      </c>
      <c r="T22" s="4" t="str">
        <f>IF($D22="","",SUMIFS(Weights!$S:$S,Weights!$C:$C,$F22))</f>
        <v/>
      </c>
      <c r="U22" s="4" t="str">
        <f>IF($D22="","",SUMIFS(Weights!$T:$T,Weights!$C:$C,$F22))</f>
        <v/>
      </c>
      <c r="V22" s="4" t="str">
        <f>IF($D22="","",SUMIFS(Weights!$U:$U,Weights!$C:$C,$F22))</f>
        <v/>
      </c>
      <c r="W22" s="4" t="str">
        <f>IF($D22="","",SUMIFS(Weights!$V:$V,Weights!$C:$C,$F22))</f>
        <v/>
      </c>
      <c r="X22" s="4" t="str">
        <f>IF($D22="","",SUMIFS(Weights!$W:$W,Weights!$C:$C,$F22))</f>
        <v/>
      </c>
      <c r="Y22" s="4" t="str">
        <f>IF($D22="","",SUMIFS(Weights!$X:$X,Weights!$C:$C,$F22))</f>
        <v/>
      </c>
      <c r="Z22" s="4" t="str">
        <f>IF($D22="","",SUMIFS(Weights!$Y:$Y,Weights!$C:$C,$F22))</f>
        <v/>
      </c>
      <c r="AA22" s="4" t="str">
        <f>IF($D22="","",SUMIFS(Weights!$Z:$Z,Weights!$C:$C,$F22))</f>
        <v/>
      </c>
      <c r="AB22" s="4" t="str">
        <f>IF($D22="","",SUMIFS(Weights!$AA:$AA,Weights!$C:$C,$F22))</f>
        <v/>
      </c>
      <c r="AC22" s="4" t="str">
        <f>IF($D22="","",SUMIFS(Weights!$AB:$AB,Weights!$C:$C,$F22))</f>
        <v/>
      </c>
      <c r="AD22" s="4" t="str">
        <f>IF($D22="","",SUMIFS(Weights!$AC:$AC,Weights!$C:$C,$F22))</f>
        <v/>
      </c>
      <c r="AE22" s="4" t="str">
        <f>IF($D22="","",SUMIFS(Weights!$AD:$AD,Weights!$C:$C,$F22))</f>
        <v/>
      </c>
      <c r="AF22" s="4" t="str">
        <f>IF($D22="","",SUMIFS(Weights!$AE:$AE,Weights!$C:$C,$F22))</f>
        <v/>
      </c>
      <c r="AG22" s="4" t="str">
        <f>IF($D22="","",SUMIFS(Weights!$AF:$AF,Weights!$C:$C,$F22))</f>
        <v/>
      </c>
      <c r="AH22" s="4" t="str">
        <f>IF($D22="","",SUMIFS(Weights!$AG:$AG,Weights!$C:$C,$F22))</f>
        <v/>
      </c>
      <c r="AI22" s="4" t="str">
        <f>IF($D22="","",SUMIFS(Weights!$AH:$AH,Weights!$C:$C,$F22))</f>
        <v/>
      </c>
      <c r="AJ22" s="4" t="str">
        <f>IF($D22="","",SUMIFS(Weights!$AI:$AI,Weights!$C:$C,$F22))</f>
        <v/>
      </c>
      <c r="AK22" s="4" t="str">
        <f>IF($D22="","",SUMIFS(Weights!$AJ:$AJ,Weights!$C:$C,$F22))</f>
        <v/>
      </c>
      <c r="AL22" s="4" t="str">
        <f>IF($D22="","",SUMIFS(Weights!$AK:$AK,Weights!$C:$C,$F22))</f>
        <v/>
      </c>
      <c r="AM22" s="4" t="str">
        <f>IF($D22="","",SUMIFS(Weights!$AL:$AL,Weights!$C:$C,$F22))</f>
        <v/>
      </c>
    </row>
    <row r="23" spans="1:39" x14ac:dyDescent="0.25">
      <c r="A23" s="4">
        <v>22</v>
      </c>
      <c r="B23" s="4" t="s">
        <v>92</v>
      </c>
      <c r="C23" s="4" t="s">
        <v>122</v>
      </c>
      <c r="D23" s="5" t="s">
        <v>878</v>
      </c>
      <c r="E23" s="4" t="str">
        <f>IF(D23="","",INDEX(Questions!$D$2:$G$81,MATCH(A23,Questions!$A$2:$A$81,0),MATCH(D23,{"A","B","C","D"},0)))</f>
        <v/>
      </c>
      <c r="F23" s="4" t="str">
        <f t="shared" si="0"/>
        <v>22|</v>
      </c>
      <c r="G23" s="4" t="str">
        <f>IF($D23="","",SUMIFS(Weights!$F:$F,Weights!$C:$C,$F23))</f>
        <v/>
      </c>
      <c r="H23" s="4" t="str">
        <f>IF($D23="","",SUMIFS(Weights!$G:$G,Weights!$C:$C,$F23))</f>
        <v/>
      </c>
      <c r="I23" s="4" t="str">
        <f>IF($D23="","",SUMIFS(Weights!$H:$H,Weights!$C:$C,$F23))</f>
        <v/>
      </c>
      <c r="J23" s="4" t="str">
        <f>IF($D23="","",SUMIFS(Weights!$I:$I,Weights!$C:$C,$F23))</f>
        <v/>
      </c>
      <c r="K23" s="4" t="str">
        <f>IF($D23="","",SUMIFS(Weights!$J:$J,Weights!$C:$C,$F23))</f>
        <v/>
      </c>
      <c r="L23" s="4" t="str">
        <f>IF($D23="","",SUMIFS(Weights!$K:$K,Weights!$C:$C,$F23))</f>
        <v/>
      </c>
      <c r="M23" s="4" t="str">
        <f>IF($D23="","",SUMIFS(Weights!$L:$L,Weights!$C:$C,$F23))</f>
        <v/>
      </c>
      <c r="N23" s="4" t="str">
        <f>IF($D23="","",SUMIFS(Weights!$M:$M,Weights!$C:$C,$F23))</f>
        <v/>
      </c>
      <c r="O23" s="4" t="str">
        <f>IF($D23="","",SUMIFS(Weights!$N:$N,Weights!$C:$C,$F23))</f>
        <v/>
      </c>
      <c r="P23" s="4" t="str">
        <f>IF($D23="","",SUMIFS(Weights!$O:$O,Weights!$C:$C,$F23))</f>
        <v/>
      </c>
      <c r="Q23" s="4" t="str">
        <f>IF($D23="","",SUMIFS(Weights!$P:$P,Weights!$C:$C,$F23))</f>
        <v/>
      </c>
      <c r="R23" s="4" t="str">
        <f>IF($D23="","",SUMIFS(Weights!$Q:$Q,Weights!$C:$C,$F23))</f>
        <v/>
      </c>
      <c r="S23" s="4" t="str">
        <f>IF($D23="","",SUMIFS(Weights!$R:$R,Weights!$C:$C,$F23))</f>
        <v/>
      </c>
      <c r="T23" s="4" t="str">
        <f>IF($D23="","",SUMIFS(Weights!$S:$S,Weights!$C:$C,$F23))</f>
        <v/>
      </c>
      <c r="U23" s="4" t="str">
        <f>IF($D23="","",SUMIFS(Weights!$T:$T,Weights!$C:$C,$F23))</f>
        <v/>
      </c>
      <c r="V23" s="4" t="str">
        <f>IF($D23="","",SUMIFS(Weights!$U:$U,Weights!$C:$C,$F23))</f>
        <v/>
      </c>
      <c r="W23" s="4" t="str">
        <f>IF($D23="","",SUMIFS(Weights!$V:$V,Weights!$C:$C,$F23))</f>
        <v/>
      </c>
      <c r="X23" s="4" t="str">
        <f>IF($D23="","",SUMIFS(Weights!$W:$W,Weights!$C:$C,$F23))</f>
        <v/>
      </c>
      <c r="Y23" s="4" t="str">
        <f>IF($D23="","",SUMIFS(Weights!$X:$X,Weights!$C:$C,$F23))</f>
        <v/>
      </c>
      <c r="Z23" s="4" t="str">
        <f>IF($D23="","",SUMIFS(Weights!$Y:$Y,Weights!$C:$C,$F23))</f>
        <v/>
      </c>
      <c r="AA23" s="4" t="str">
        <f>IF($D23="","",SUMIFS(Weights!$Z:$Z,Weights!$C:$C,$F23))</f>
        <v/>
      </c>
      <c r="AB23" s="4" t="str">
        <f>IF($D23="","",SUMIFS(Weights!$AA:$AA,Weights!$C:$C,$F23))</f>
        <v/>
      </c>
      <c r="AC23" s="4" t="str">
        <f>IF($D23="","",SUMIFS(Weights!$AB:$AB,Weights!$C:$C,$F23))</f>
        <v/>
      </c>
      <c r="AD23" s="4" t="str">
        <f>IF($D23="","",SUMIFS(Weights!$AC:$AC,Weights!$C:$C,$F23))</f>
        <v/>
      </c>
      <c r="AE23" s="4" t="str">
        <f>IF($D23="","",SUMIFS(Weights!$AD:$AD,Weights!$C:$C,$F23))</f>
        <v/>
      </c>
      <c r="AF23" s="4" t="str">
        <f>IF($D23="","",SUMIFS(Weights!$AE:$AE,Weights!$C:$C,$F23))</f>
        <v/>
      </c>
      <c r="AG23" s="4" t="str">
        <f>IF($D23="","",SUMIFS(Weights!$AF:$AF,Weights!$C:$C,$F23))</f>
        <v/>
      </c>
      <c r="AH23" s="4" t="str">
        <f>IF($D23="","",SUMIFS(Weights!$AG:$AG,Weights!$C:$C,$F23))</f>
        <v/>
      </c>
      <c r="AI23" s="4" t="str">
        <f>IF($D23="","",SUMIFS(Weights!$AH:$AH,Weights!$C:$C,$F23))</f>
        <v/>
      </c>
      <c r="AJ23" s="4" t="str">
        <f>IF($D23="","",SUMIFS(Weights!$AI:$AI,Weights!$C:$C,$F23))</f>
        <v/>
      </c>
      <c r="AK23" s="4" t="str">
        <f>IF($D23="","",SUMIFS(Weights!$AJ:$AJ,Weights!$C:$C,$F23))</f>
        <v/>
      </c>
      <c r="AL23" s="4" t="str">
        <f>IF($D23="","",SUMIFS(Weights!$AK:$AK,Weights!$C:$C,$F23))</f>
        <v/>
      </c>
      <c r="AM23" s="4" t="str">
        <f>IF($D23="","",SUMIFS(Weights!$AL:$AL,Weights!$C:$C,$F23))</f>
        <v/>
      </c>
    </row>
    <row r="24" spans="1:39" x14ac:dyDescent="0.25">
      <c r="A24" s="4">
        <v>23</v>
      </c>
      <c r="B24" s="4" t="s">
        <v>127</v>
      </c>
      <c r="C24" s="4" t="s">
        <v>128</v>
      </c>
      <c r="D24" s="5" t="s">
        <v>878</v>
      </c>
      <c r="E24" s="4" t="str">
        <f>IF(D24="","",INDEX(Questions!$D$2:$G$81,MATCH(A24,Questions!$A$2:$A$81,0),MATCH(D24,{"A","B","C","D"},0)))</f>
        <v/>
      </c>
      <c r="F24" s="4" t="str">
        <f t="shared" si="0"/>
        <v>23|</v>
      </c>
      <c r="G24" s="4" t="str">
        <f>IF($D24="","",SUMIFS(Weights!$F:$F,Weights!$C:$C,$F24))</f>
        <v/>
      </c>
      <c r="H24" s="4" t="str">
        <f>IF($D24="","",SUMIFS(Weights!$G:$G,Weights!$C:$C,$F24))</f>
        <v/>
      </c>
      <c r="I24" s="4" t="str">
        <f>IF($D24="","",SUMIFS(Weights!$H:$H,Weights!$C:$C,$F24))</f>
        <v/>
      </c>
      <c r="J24" s="4" t="str">
        <f>IF($D24="","",SUMIFS(Weights!$I:$I,Weights!$C:$C,$F24))</f>
        <v/>
      </c>
      <c r="K24" s="4" t="str">
        <f>IF($D24="","",SUMIFS(Weights!$J:$J,Weights!$C:$C,$F24))</f>
        <v/>
      </c>
      <c r="L24" s="4" t="str">
        <f>IF($D24="","",SUMIFS(Weights!$K:$K,Weights!$C:$C,$F24))</f>
        <v/>
      </c>
      <c r="M24" s="4" t="str">
        <f>IF($D24="","",SUMIFS(Weights!$L:$L,Weights!$C:$C,$F24))</f>
        <v/>
      </c>
      <c r="N24" s="4" t="str">
        <f>IF($D24="","",SUMIFS(Weights!$M:$M,Weights!$C:$C,$F24))</f>
        <v/>
      </c>
      <c r="O24" s="4" t="str">
        <f>IF($D24="","",SUMIFS(Weights!$N:$N,Weights!$C:$C,$F24))</f>
        <v/>
      </c>
      <c r="P24" s="4" t="str">
        <f>IF($D24="","",SUMIFS(Weights!$O:$O,Weights!$C:$C,$F24))</f>
        <v/>
      </c>
      <c r="Q24" s="4" t="str">
        <f>IF($D24="","",SUMIFS(Weights!$P:$P,Weights!$C:$C,$F24))</f>
        <v/>
      </c>
      <c r="R24" s="4" t="str">
        <f>IF($D24="","",SUMIFS(Weights!$Q:$Q,Weights!$C:$C,$F24))</f>
        <v/>
      </c>
      <c r="S24" s="4" t="str">
        <f>IF($D24="","",SUMIFS(Weights!$R:$R,Weights!$C:$C,$F24))</f>
        <v/>
      </c>
      <c r="T24" s="4" t="str">
        <f>IF($D24="","",SUMIFS(Weights!$S:$S,Weights!$C:$C,$F24))</f>
        <v/>
      </c>
      <c r="U24" s="4" t="str">
        <f>IF($D24="","",SUMIFS(Weights!$T:$T,Weights!$C:$C,$F24))</f>
        <v/>
      </c>
      <c r="V24" s="4" t="str">
        <f>IF($D24="","",SUMIFS(Weights!$U:$U,Weights!$C:$C,$F24))</f>
        <v/>
      </c>
      <c r="W24" s="4" t="str">
        <f>IF($D24="","",SUMIFS(Weights!$V:$V,Weights!$C:$C,$F24))</f>
        <v/>
      </c>
      <c r="X24" s="4" t="str">
        <f>IF($D24="","",SUMIFS(Weights!$W:$W,Weights!$C:$C,$F24))</f>
        <v/>
      </c>
      <c r="Y24" s="4" t="str">
        <f>IF($D24="","",SUMIFS(Weights!$X:$X,Weights!$C:$C,$F24))</f>
        <v/>
      </c>
      <c r="Z24" s="4" t="str">
        <f>IF($D24="","",SUMIFS(Weights!$Y:$Y,Weights!$C:$C,$F24))</f>
        <v/>
      </c>
      <c r="AA24" s="4" t="str">
        <f>IF($D24="","",SUMIFS(Weights!$Z:$Z,Weights!$C:$C,$F24))</f>
        <v/>
      </c>
      <c r="AB24" s="4" t="str">
        <f>IF($D24="","",SUMIFS(Weights!$AA:$AA,Weights!$C:$C,$F24))</f>
        <v/>
      </c>
      <c r="AC24" s="4" t="str">
        <f>IF($D24="","",SUMIFS(Weights!$AB:$AB,Weights!$C:$C,$F24))</f>
        <v/>
      </c>
      <c r="AD24" s="4" t="str">
        <f>IF($D24="","",SUMIFS(Weights!$AC:$AC,Weights!$C:$C,$F24))</f>
        <v/>
      </c>
      <c r="AE24" s="4" t="str">
        <f>IF($D24="","",SUMIFS(Weights!$AD:$AD,Weights!$C:$C,$F24))</f>
        <v/>
      </c>
      <c r="AF24" s="4" t="str">
        <f>IF($D24="","",SUMIFS(Weights!$AE:$AE,Weights!$C:$C,$F24))</f>
        <v/>
      </c>
      <c r="AG24" s="4" t="str">
        <f>IF($D24="","",SUMIFS(Weights!$AF:$AF,Weights!$C:$C,$F24))</f>
        <v/>
      </c>
      <c r="AH24" s="4" t="str">
        <f>IF($D24="","",SUMIFS(Weights!$AG:$AG,Weights!$C:$C,$F24))</f>
        <v/>
      </c>
      <c r="AI24" s="4" t="str">
        <f>IF($D24="","",SUMIFS(Weights!$AH:$AH,Weights!$C:$C,$F24))</f>
        <v/>
      </c>
      <c r="AJ24" s="4" t="str">
        <f>IF($D24="","",SUMIFS(Weights!$AI:$AI,Weights!$C:$C,$F24))</f>
        <v/>
      </c>
      <c r="AK24" s="4" t="str">
        <f>IF($D24="","",SUMIFS(Weights!$AJ:$AJ,Weights!$C:$C,$F24))</f>
        <v/>
      </c>
      <c r="AL24" s="4" t="str">
        <f>IF($D24="","",SUMIFS(Weights!$AK:$AK,Weights!$C:$C,$F24))</f>
        <v/>
      </c>
      <c r="AM24" s="4" t="str">
        <f>IF($D24="","",SUMIFS(Weights!$AL:$AL,Weights!$C:$C,$F24))</f>
        <v/>
      </c>
    </row>
    <row r="25" spans="1:39" x14ac:dyDescent="0.25">
      <c r="A25" s="4">
        <v>24</v>
      </c>
      <c r="B25" s="4" t="s">
        <v>127</v>
      </c>
      <c r="C25" s="4" t="s">
        <v>133</v>
      </c>
      <c r="D25" s="5" t="s">
        <v>878</v>
      </c>
      <c r="E25" s="4" t="str">
        <f>IF(D25="","",INDEX(Questions!$D$2:$G$81,MATCH(A25,Questions!$A$2:$A$81,0),MATCH(D25,{"A","B","C","D"},0)))</f>
        <v/>
      </c>
      <c r="F25" s="4" t="str">
        <f t="shared" si="0"/>
        <v>24|</v>
      </c>
      <c r="G25" s="4" t="str">
        <f>IF($D25="","",SUMIFS(Weights!$F:$F,Weights!$C:$C,$F25))</f>
        <v/>
      </c>
      <c r="H25" s="4" t="str">
        <f>IF($D25="","",SUMIFS(Weights!$G:$G,Weights!$C:$C,$F25))</f>
        <v/>
      </c>
      <c r="I25" s="4" t="str">
        <f>IF($D25="","",SUMIFS(Weights!$H:$H,Weights!$C:$C,$F25))</f>
        <v/>
      </c>
      <c r="J25" s="4" t="str">
        <f>IF($D25="","",SUMIFS(Weights!$I:$I,Weights!$C:$C,$F25))</f>
        <v/>
      </c>
      <c r="K25" s="4" t="str">
        <f>IF($D25="","",SUMIFS(Weights!$J:$J,Weights!$C:$C,$F25))</f>
        <v/>
      </c>
      <c r="L25" s="4" t="str">
        <f>IF($D25="","",SUMIFS(Weights!$K:$K,Weights!$C:$C,$F25))</f>
        <v/>
      </c>
      <c r="M25" s="4" t="str">
        <f>IF($D25="","",SUMIFS(Weights!$L:$L,Weights!$C:$C,$F25))</f>
        <v/>
      </c>
      <c r="N25" s="4" t="str">
        <f>IF($D25="","",SUMIFS(Weights!$M:$M,Weights!$C:$C,$F25))</f>
        <v/>
      </c>
      <c r="O25" s="4" t="str">
        <f>IF($D25="","",SUMIFS(Weights!$N:$N,Weights!$C:$C,$F25))</f>
        <v/>
      </c>
      <c r="P25" s="4" t="str">
        <f>IF($D25="","",SUMIFS(Weights!$O:$O,Weights!$C:$C,$F25))</f>
        <v/>
      </c>
      <c r="Q25" s="4" t="str">
        <f>IF($D25="","",SUMIFS(Weights!$P:$P,Weights!$C:$C,$F25))</f>
        <v/>
      </c>
      <c r="R25" s="4" t="str">
        <f>IF($D25="","",SUMIFS(Weights!$Q:$Q,Weights!$C:$C,$F25))</f>
        <v/>
      </c>
      <c r="S25" s="4" t="str">
        <f>IF($D25="","",SUMIFS(Weights!$R:$R,Weights!$C:$C,$F25))</f>
        <v/>
      </c>
      <c r="T25" s="4" t="str">
        <f>IF($D25="","",SUMIFS(Weights!$S:$S,Weights!$C:$C,$F25))</f>
        <v/>
      </c>
      <c r="U25" s="4" t="str">
        <f>IF($D25="","",SUMIFS(Weights!$T:$T,Weights!$C:$C,$F25))</f>
        <v/>
      </c>
      <c r="V25" s="4" t="str">
        <f>IF($D25="","",SUMIFS(Weights!$U:$U,Weights!$C:$C,$F25))</f>
        <v/>
      </c>
      <c r="W25" s="4" t="str">
        <f>IF($D25="","",SUMIFS(Weights!$V:$V,Weights!$C:$C,$F25))</f>
        <v/>
      </c>
      <c r="X25" s="4" t="str">
        <f>IF($D25="","",SUMIFS(Weights!$W:$W,Weights!$C:$C,$F25))</f>
        <v/>
      </c>
      <c r="Y25" s="4" t="str">
        <f>IF($D25="","",SUMIFS(Weights!$X:$X,Weights!$C:$C,$F25))</f>
        <v/>
      </c>
      <c r="Z25" s="4" t="str">
        <f>IF($D25="","",SUMIFS(Weights!$Y:$Y,Weights!$C:$C,$F25))</f>
        <v/>
      </c>
      <c r="AA25" s="4" t="str">
        <f>IF($D25="","",SUMIFS(Weights!$Z:$Z,Weights!$C:$C,$F25))</f>
        <v/>
      </c>
      <c r="AB25" s="4" t="str">
        <f>IF($D25="","",SUMIFS(Weights!$AA:$AA,Weights!$C:$C,$F25))</f>
        <v/>
      </c>
      <c r="AC25" s="4" t="str">
        <f>IF($D25="","",SUMIFS(Weights!$AB:$AB,Weights!$C:$C,$F25))</f>
        <v/>
      </c>
      <c r="AD25" s="4" t="str">
        <f>IF($D25="","",SUMIFS(Weights!$AC:$AC,Weights!$C:$C,$F25))</f>
        <v/>
      </c>
      <c r="AE25" s="4" t="str">
        <f>IF($D25="","",SUMIFS(Weights!$AD:$AD,Weights!$C:$C,$F25))</f>
        <v/>
      </c>
      <c r="AF25" s="4" t="str">
        <f>IF($D25="","",SUMIFS(Weights!$AE:$AE,Weights!$C:$C,$F25))</f>
        <v/>
      </c>
      <c r="AG25" s="4" t="str">
        <f>IF($D25="","",SUMIFS(Weights!$AF:$AF,Weights!$C:$C,$F25))</f>
        <v/>
      </c>
      <c r="AH25" s="4" t="str">
        <f>IF($D25="","",SUMIFS(Weights!$AG:$AG,Weights!$C:$C,$F25))</f>
        <v/>
      </c>
      <c r="AI25" s="4" t="str">
        <f>IF($D25="","",SUMIFS(Weights!$AH:$AH,Weights!$C:$C,$F25))</f>
        <v/>
      </c>
      <c r="AJ25" s="4" t="str">
        <f>IF($D25="","",SUMIFS(Weights!$AI:$AI,Weights!$C:$C,$F25))</f>
        <v/>
      </c>
      <c r="AK25" s="4" t="str">
        <f>IF($D25="","",SUMIFS(Weights!$AJ:$AJ,Weights!$C:$C,$F25))</f>
        <v/>
      </c>
      <c r="AL25" s="4" t="str">
        <f>IF($D25="","",SUMIFS(Weights!$AK:$AK,Weights!$C:$C,$F25))</f>
        <v/>
      </c>
      <c r="AM25" s="4" t="str">
        <f>IF($D25="","",SUMIFS(Weights!$AL:$AL,Weights!$C:$C,$F25))</f>
        <v/>
      </c>
    </row>
    <row r="26" spans="1:39" x14ac:dyDescent="0.25">
      <c r="A26" s="4">
        <v>25</v>
      </c>
      <c r="B26" s="4" t="s">
        <v>127</v>
      </c>
      <c r="C26" s="4" t="s">
        <v>138</v>
      </c>
      <c r="D26" s="5" t="s">
        <v>878</v>
      </c>
      <c r="E26" s="4" t="str">
        <f>IF(D26="","",INDEX(Questions!$D$2:$G$81,MATCH(A26,Questions!$A$2:$A$81,0),MATCH(D26,{"A","B","C","D"},0)))</f>
        <v/>
      </c>
      <c r="F26" s="4" t="str">
        <f t="shared" si="0"/>
        <v>25|</v>
      </c>
      <c r="G26" s="4" t="str">
        <f>IF($D26="","",SUMIFS(Weights!$F:$F,Weights!$C:$C,$F26))</f>
        <v/>
      </c>
      <c r="H26" s="4" t="str">
        <f>IF($D26="","",SUMIFS(Weights!$G:$G,Weights!$C:$C,$F26))</f>
        <v/>
      </c>
      <c r="I26" s="4" t="str">
        <f>IF($D26="","",SUMIFS(Weights!$H:$H,Weights!$C:$C,$F26))</f>
        <v/>
      </c>
      <c r="J26" s="4" t="str">
        <f>IF($D26="","",SUMIFS(Weights!$I:$I,Weights!$C:$C,$F26))</f>
        <v/>
      </c>
      <c r="K26" s="4" t="str">
        <f>IF($D26="","",SUMIFS(Weights!$J:$J,Weights!$C:$C,$F26))</f>
        <v/>
      </c>
      <c r="L26" s="4" t="str">
        <f>IF($D26="","",SUMIFS(Weights!$K:$K,Weights!$C:$C,$F26))</f>
        <v/>
      </c>
      <c r="M26" s="4" t="str">
        <f>IF($D26="","",SUMIFS(Weights!$L:$L,Weights!$C:$C,$F26))</f>
        <v/>
      </c>
      <c r="N26" s="4" t="str">
        <f>IF($D26="","",SUMIFS(Weights!$M:$M,Weights!$C:$C,$F26))</f>
        <v/>
      </c>
      <c r="O26" s="4" t="str">
        <f>IF($D26="","",SUMIFS(Weights!$N:$N,Weights!$C:$C,$F26))</f>
        <v/>
      </c>
      <c r="P26" s="4" t="str">
        <f>IF($D26="","",SUMIFS(Weights!$O:$O,Weights!$C:$C,$F26))</f>
        <v/>
      </c>
      <c r="Q26" s="4" t="str">
        <f>IF($D26="","",SUMIFS(Weights!$P:$P,Weights!$C:$C,$F26))</f>
        <v/>
      </c>
      <c r="R26" s="4" t="str">
        <f>IF($D26="","",SUMIFS(Weights!$Q:$Q,Weights!$C:$C,$F26))</f>
        <v/>
      </c>
      <c r="S26" s="4" t="str">
        <f>IF($D26="","",SUMIFS(Weights!$R:$R,Weights!$C:$C,$F26))</f>
        <v/>
      </c>
      <c r="T26" s="4" t="str">
        <f>IF($D26="","",SUMIFS(Weights!$S:$S,Weights!$C:$C,$F26))</f>
        <v/>
      </c>
      <c r="U26" s="4" t="str">
        <f>IF($D26="","",SUMIFS(Weights!$T:$T,Weights!$C:$C,$F26))</f>
        <v/>
      </c>
      <c r="V26" s="4" t="str">
        <f>IF($D26="","",SUMIFS(Weights!$U:$U,Weights!$C:$C,$F26))</f>
        <v/>
      </c>
      <c r="W26" s="4" t="str">
        <f>IF($D26="","",SUMIFS(Weights!$V:$V,Weights!$C:$C,$F26))</f>
        <v/>
      </c>
      <c r="X26" s="4" t="str">
        <f>IF($D26="","",SUMIFS(Weights!$W:$W,Weights!$C:$C,$F26))</f>
        <v/>
      </c>
      <c r="Y26" s="4" t="str">
        <f>IF($D26="","",SUMIFS(Weights!$X:$X,Weights!$C:$C,$F26))</f>
        <v/>
      </c>
      <c r="Z26" s="4" t="str">
        <f>IF($D26="","",SUMIFS(Weights!$Y:$Y,Weights!$C:$C,$F26))</f>
        <v/>
      </c>
      <c r="AA26" s="4" t="str">
        <f>IF($D26="","",SUMIFS(Weights!$Z:$Z,Weights!$C:$C,$F26))</f>
        <v/>
      </c>
      <c r="AB26" s="4" t="str">
        <f>IF($D26="","",SUMIFS(Weights!$AA:$AA,Weights!$C:$C,$F26))</f>
        <v/>
      </c>
      <c r="AC26" s="4" t="str">
        <f>IF($D26="","",SUMIFS(Weights!$AB:$AB,Weights!$C:$C,$F26))</f>
        <v/>
      </c>
      <c r="AD26" s="4" t="str">
        <f>IF($D26="","",SUMIFS(Weights!$AC:$AC,Weights!$C:$C,$F26))</f>
        <v/>
      </c>
      <c r="AE26" s="4" t="str">
        <f>IF($D26="","",SUMIFS(Weights!$AD:$AD,Weights!$C:$C,$F26))</f>
        <v/>
      </c>
      <c r="AF26" s="4" t="str">
        <f>IF($D26="","",SUMIFS(Weights!$AE:$AE,Weights!$C:$C,$F26))</f>
        <v/>
      </c>
      <c r="AG26" s="4" t="str">
        <f>IF($D26="","",SUMIFS(Weights!$AF:$AF,Weights!$C:$C,$F26))</f>
        <v/>
      </c>
      <c r="AH26" s="4" t="str">
        <f>IF($D26="","",SUMIFS(Weights!$AG:$AG,Weights!$C:$C,$F26))</f>
        <v/>
      </c>
      <c r="AI26" s="4" t="str">
        <f>IF($D26="","",SUMIFS(Weights!$AH:$AH,Weights!$C:$C,$F26))</f>
        <v/>
      </c>
      <c r="AJ26" s="4" t="str">
        <f>IF($D26="","",SUMIFS(Weights!$AI:$AI,Weights!$C:$C,$F26))</f>
        <v/>
      </c>
      <c r="AK26" s="4" t="str">
        <f>IF($D26="","",SUMIFS(Weights!$AJ:$AJ,Weights!$C:$C,$F26))</f>
        <v/>
      </c>
      <c r="AL26" s="4" t="str">
        <f>IF($D26="","",SUMIFS(Weights!$AK:$AK,Weights!$C:$C,$F26))</f>
        <v/>
      </c>
      <c r="AM26" s="4" t="str">
        <f>IF($D26="","",SUMIFS(Weights!$AL:$AL,Weights!$C:$C,$F26))</f>
        <v/>
      </c>
    </row>
    <row r="27" spans="1:39" x14ac:dyDescent="0.25">
      <c r="A27" s="4">
        <v>26</v>
      </c>
      <c r="B27" s="4" t="s">
        <v>127</v>
      </c>
      <c r="C27" s="4" t="s">
        <v>143</v>
      </c>
      <c r="D27" s="5" t="s">
        <v>878</v>
      </c>
      <c r="E27" s="4" t="str">
        <f>IF(D27="","",INDEX(Questions!$D$2:$G$81,MATCH(A27,Questions!$A$2:$A$81,0),MATCH(D27,{"A","B","C","D"},0)))</f>
        <v/>
      </c>
      <c r="F27" s="4" t="str">
        <f t="shared" si="0"/>
        <v>26|</v>
      </c>
      <c r="G27" s="4" t="str">
        <f>IF($D27="","",SUMIFS(Weights!$F:$F,Weights!$C:$C,$F27))</f>
        <v/>
      </c>
      <c r="H27" s="4" t="str">
        <f>IF($D27="","",SUMIFS(Weights!$G:$G,Weights!$C:$C,$F27))</f>
        <v/>
      </c>
      <c r="I27" s="4" t="str">
        <f>IF($D27="","",SUMIFS(Weights!$H:$H,Weights!$C:$C,$F27))</f>
        <v/>
      </c>
      <c r="J27" s="4" t="str">
        <f>IF($D27="","",SUMIFS(Weights!$I:$I,Weights!$C:$C,$F27))</f>
        <v/>
      </c>
      <c r="K27" s="4" t="str">
        <f>IF($D27="","",SUMIFS(Weights!$J:$J,Weights!$C:$C,$F27))</f>
        <v/>
      </c>
      <c r="L27" s="4" t="str">
        <f>IF($D27="","",SUMIFS(Weights!$K:$K,Weights!$C:$C,$F27))</f>
        <v/>
      </c>
      <c r="M27" s="4" t="str">
        <f>IF($D27="","",SUMIFS(Weights!$L:$L,Weights!$C:$C,$F27))</f>
        <v/>
      </c>
      <c r="N27" s="4" t="str">
        <f>IF($D27="","",SUMIFS(Weights!$M:$M,Weights!$C:$C,$F27))</f>
        <v/>
      </c>
      <c r="O27" s="4" t="str">
        <f>IF($D27="","",SUMIFS(Weights!$N:$N,Weights!$C:$C,$F27))</f>
        <v/>
      </c>
      <c r="P27" s="4" t="str">
        <f>IF($D27="","",SUMIFS(Weights!$O:$O,Weights!$C:$C,$F27))</f>
        <v/>
      </c>
      <c r="Q27" s="4" t="str">
        <f>IF($D27="","",SUMIFS(Weights!$P:$P,Weights!$C:$C,$F27))</f>
        <v/>
      </c>
      <c r="R27" s="4" t="str">
        <f>IF($D27="","",SUMIFS(Weights!$Q:$Q,Weights!$C:$C,$F27))</f>
        <v/>
      </c>
      <c r="S27" s="4" t="str">
        <f>IF($D27="","",SUMIFS(Weights!$R:$R,Weights!$C:$C,$F27))</f>
        <v/>
      </c>
      <c r="T27" s="4" t="str">
        <f>IF($D27="","",SUMIFS(Weights!$S:$S,Weights!$C:$C,$F27))</f>
        <v/>
      </c>
      <c r="U27" s="4" t="str">
        <f>IF($D27="","",SUMIFS(Weights!$T:$T,Weights!$C:$C,$F27))</f>
        <v/>
      </c>
      <c r="V27" s="4" t="str">
        <f>IF($D27="","",SUMIFS(Weights!$U:$U,Weights!$C:$C,$F27))</f>
        <v/>
      </c>
      <c r="W27" s="4" t="str">
        <f>IF($D27="","",SUMIFS(Weights!$V:$V,Weights!$C:$C,$F27))</f>
        <v/>
      </c>
      <c r="X27" s="4" t="str">
        <f>IF($D27="","",SUMIFS(Weights!$W:$W,Weights!$C:$C,$F27))</f>
        <v/>
      </c>
      <c r="Y27" s="4" t="str">
        <f>IF($D27="","",SUMIFS(Weights!$X:$X,Weights!$C:$C,$F27))</f>
        <v/>
      </c>
      <c r="Z27" s="4" t="str">
        <f>IF($D27="","",SUMIFS(Weights!$Y:$Y,Weights!$C:$C,$F27))</f>
        <v/>
      </c>
      <c r="AA27" s="4" t="str">
        <f>IF($D27="","",SUMIFS(Weights!$Z:$Z,Weights!$C:$C,$F27))</f>
        <v/>
      </c>
      <c r="AB27" s="4" t="str">
        <f>IF($D27="","",SUMIFS(Weights!$AA:$AA,Weights!$C:$C,$F27))</f>
        <v/>
      </c>
      <c r="AC27" s="4" t="str">
        <f>IF($D27="","",SUMIFS(Weights!$AB:$AB,Weights!$C:$C,$F27))</f>
        <v/>
      </c>
      <c r="AD27" s="4" t="str">
        <f>IF($D27="","",SUMIFS(Weights!$AC:$AC,Weights!$C:$C,$F27))</f>
        <v/>
      </c>
      <c r="AE27" s="4" t="str">
        <f>IF($D27="","",SUMIFS(Weights!$AD:$AD,Weights!$C:$C,$F27))</f>
        <v/>
      </c>
      <c r="AF27" s="4" t="str">
        <f>IF($D27="","",SUMIFS(Weights!$AE:$AE,Weights!$C:$C,$F27))</f>
        <v/>
      </c>
      <c r="AG27" s="4" t="str">
        <f>IF($D27="","",SUMIFS(Weights!$AF:$AF,Weights!$C:$C,$F27))</f>
        <v/>
      </c>
      <c r="AH27" s="4" t="str">
        <f>IF($D27="","",SUMIFS(Weights!$AG:$AG,Weights!$C:$C,$F27))</f>
        <v/>
      </c>
      <c r="AI27" s="4" t="str">
        <f>IF($D27="","",SUMIFS(Weights!$AH:$AH,Weights!$C:$C,$F27))</f>
        <v/>
      </c>
      <c r="AJ27" s="4" t="str">
        <f>IF($D27="","",SUMIFS(Weights!$AI:$AI,Weights!$C:$C,$F27))</f>
        <v/>
      </c>
      <c r="AK27" s="4" t="str">
        <f>IF($D27="","",SUMIFS(Weights!$AJ:$AJ,Weights!$C:$C,$F27))</f>
        <v/>
      </c>
      <c r="AL27" s="4" t="str">
        <f>IF($D27="","",SUMIFS(Weights!$AK:$AK,Weights!$C:$C,$F27))</f>
        <v/>
      </c>
      <c r="AM27" s="4" t="str">
        <f>IF($D27="","",SUMIFS(Weights!$AL:$AL,Weights!$C:$C,$F27))</f>
        <v/>
      </c>
    </row>
    <row r="28" spans="1:39" x14ac:dyDescent="0.25">
      <c r="A28" s="4">
        <v>27</v>
      </c>
      <c r="B28" s="4" t="s">
        <v>127</v>
      </c>
      <c r="C28" s="4" t="s">
        <v>148</v>
      </c>
      <c r="D28" s="5" t="s">
        <v>878</v>
      </c>
      <c r="E28" s="4" t="str">
        <f>IF(D28="","",INDEX(Questions!$D$2:$G$81,MATCH(A28,Questions!$A$2:$A$81,0),MATCH(D28,{"A","B","C","D"},0)))</f>
        <v/>
      </c>
      <c r="F28" s="4" t="str">
        <f t="shared" si="0"/>
        <v>27|</v>
      </c>
      <c r="G28" s="4" t="str">
        <f>IF($D28="","",SUMIFS(Weights!$F:$F,Weights!$C:$C,$F28))</f>
        <v/>
      </c>
      <c r="H28" s="4" t="str">
        <f>IF($D28="","",SUMIFS(Weights!$G:$G,Weights!$C:$C,$F28))</f>
        <v/>
      </c>
      <c r="I28" s="4" t="str">
        <f>IF($D28="","",SUMIFS(Weights!$H:$H,Weights!$C:$C,$F28))</f>
        <v/>
      </c>
      <c r="J28" s="4" t="str">
        <f>IF($D28="","",SUMIFS(Weights!$I:$I,Weights!$C:$C,$F28))</f>
        <v/>
      </c>
      <c r="K28" s="4" t="str">
        <f>IF($D28="","",SUMIFS(Weights!$J:$J,Weights!$C:$C,$F28))</f>
        <v/>
      </c>
      <c r="L28" s="4" t="str">
        <f>IF($D28="","",SUMIFS(Weights!$K:$K,Weights!$C:$C,$F28))</f>
        <v/>
      </c>
      <c r="M28" s="4" t="str">
        <f>IF($D28="","",SUMIFS(Weights!$L:$L,Weights!$C:$C,$F28))</f>
        <v/>
      </c>
      <c r="N28" s="4" t="str">
        <f>IF($D28="","",SUMIFS(Weights!$M:$M,Weights!$C:$C,$F28))</f>
        <v/>
      </c>
      <c r="O28" s="4" t="str">
        <f>IF($D28="","",SUMIFS(Weights!$N:$N,Weights!$C:$C,$F28))</f>
        <v/>
      </c>
      <c r="P28" s="4" t="str">
        <f>IF($D28="","",SUMIFS(Weights!$O:$O,Weights!$C:$C,$F28))</f>
        <v/>
      </c>
      <c r="Q28" s="4" t="str">
        <f>IF($D28="","",SUMIFS(Weights!$P:$P,Weights!$C:$C,$F28))</f>
        <v/>
      </c>
      <c r="R28" s="4" t="str">
        <f>IF($D28="","",SUMIFS(Weights!$Q:$Q,Weights!$C:$C,$F28))</f>
        <v/>
      </c>
      <c r="S28" s="4" t="str">
        <f>IF($D28="","",SUMIFS(Weights!$R:$R,Weights!$C:$C,$F28))</f>
        <v/>
      </c>
      <c r="T28" s="4" t="str">
        <f>IF($D28="","",SUMIFS(Weights!$S:$S,Weights!$C:$C,$F28))</f>
        <v/>
      </c>
      <c r="U28" s="4" t="str">
        <f>IF($D28="","",SUMIFS(Weights!$T:$T,Weights!$C:$C,$F28))</f>
        <v/>
      </c>
      <c r="V28" s="4" t="str">
        <f>IF($D28="","",SUMIFS(Weights!$U:$U,Weights!$C:$C,$F28))</f>
        <v/>
      </c>
      <c r="W28" s="4" t="str">
        <f>IF($D28="","",SUMIFS(Weights!$V:$V,Weights!$C:$C,$F28))</f>
        <v/>
      </c>
      <c r="X28" s="4" t="str">
        <f>IF($D28="","",SUMIFS(Weights!$W:$W,Weights!$C:$C,$F28))</f>
        <v/>
      </c>
      <c r="Y28" s="4" t="str">
        <f>IF($D28="","",SUMIFS(Weights!$X:$X,Weights!$C:$C,$F28))</f>
        <v/>
      </c>
      <c r="Z28" s="4" t="str">
        <f>IF($D28="","",SUMIFS(Weights!$Y:$Y,Weights!$C:$C,$F28))</f>
        <v/>
      </c>
      <c r="AA28" s="4" t="str">
        <f>IF($D28="","",SUMIFS(Weights!$Z:$Z,Weights!$C:$C,$F28))</f>
        <v/>
      </c>
      <c r="AB28" s="4" t="str">
        <f>IF($D28="","",SUMIFS(Weights!$AA:$AA,Weights!$C:$C,$F28))</f>
        <v/>
      </c>
      <c r="AC28" s="4" t="str">
        <f>IF($D28="","",SUMIFS(Weights!$AB:$AB,Weights!$C:$C,$F28))</f>
        <v/>
      </c>
      <c r="AD28" s="4" t="str">
        <f>IF($D28="","",SUMIFS(Weights!$AC:$AC,Weights!$C:$C,$F28))</f>
        <v/>
      </c>
      <c r="AE28" s="4" t="str">
        <f>IF($D28="","",SUMIFS(Weights!$AD:$AD,Weights!$C:$C,$F28))</f>
        <v/>
      </c>
      <c r="AF28" s="4" t="str">
        <f>IF($D28="","",SUMIFS(Weights!$AE:$AE,Weights!$C:$C,$F28))</f>
        <v/>
      </c>
      <c r="AG28" s="4" t="str">
        <f>IF($D28="","",SUMIFS(Weights!$AF:$AF,Weights!$C:$C,$F28))</f>
        <v/>
      </c>
      <c r="AH28" s="4" t="str">
        <f>IF($D28="","",SUMIFS(Weights!$AG:$AG,Weights!$C:$C,$F28))</f>
        <v/>
      </c>
      <c r="AI28" s="4" t="str">
        <f>IF($D28="","",SUMIFS(Weights!$AH:$AH,Weights!$C:$C,$F28))</f>
        <v/>
      </c>
      <c r="AJ28" s="4" t="str">
        <f>IF($D28="","",SUMIFS(Weights!$AI:$AI,Weights!$C:$C,$F28))</f>
        <v/>
      </c>
      <c r="AK28" s="4" t="str">
        <f>IF($D28="","",SUMIFS(Weights!$AJ:$AJ,Weights!$C:$C,$F28))</f>
        <v/>
      </c>
      <c r="AL28" s="4" t="str">
        <f>IF($D28="","",SUMIFS(Weights!$AK:$AK,Weights!$C:$C,$F28))</f>
        <v/>
      </c>
      <c r="AM28" s="4" t="str">
        <f>IF($D28="","",SUMIFS(Weights!$AL:$AL,Weights!$C:$C,$F28))</f>
        <v/>
      </c>
    </row>
    <row r="29" spans="1:39" x14ac:dyDescent="0.25">
      <c r="A29" s="4">
        <v>28</v>
      </c>
      <c r="B29" s="4" t="s">
        <v>127</v>
      </c>
      <c r="C29" s="4" t="s">
        <v>153</v>
      </c>
      <c r="D29" s="5" t="s">
        <v>878</v>
      </c>
      <c r="E29" s="4" t="str">
        <f>IF(D29="","",INDEX(Questions!$D$2:$G$81,MATCH(A29,Questions!$A$2:$A$81,0),MATCH(D29,{"A","B","C","D"},0)))</f>
        <v/>
      </c>
      <c r="F29" s="4" t="str">
        <f t="shared" si="0"/>
        <v>28|</v>
      </c>
      <c r="G29" s="4" t="str">
        <f>IF($D29="","",SUMIFS(Weights!$F:$F,Weights!$C:$C,$F29))</f>
        <v/>
      </c>
      <c r="H29" s="4" t="str">
        <f>IF($D29="","",SUMIFS(Weights!$G:$G,Weights!$C:$C,$F29))</f>
        <v/>
      </c>
      <c r="I29" s="4" t="str">
        <f>IF($D29="","",SUMIFS(Weights!$H:$H,Weights!$C:$C,$F29))</f>
        <v/>
      </c>
      <c r="J29" s="4" t="str">
        <f>IF($D29="","",SUMIFS(Weights!$I:$I,Weights!$C:$C,$F29))</f>
        <v/>
      </c>
      <c r="K29" s="4" t="str">
        <f>IF($D29="","",SUMIFS(Weights!$J:$J,Weights!$C:$C,$F29))</f>
        <v/>
      </c>
      <c r="L29" s="4" t="str">
        <f>IF($D29="","",SUMIFS(Weights!$K:$K,Weights!$C:$C,$F29))</f>
        <v/>
      </c>
      <c r="M29" s="4" t="str">
        <f>IF($D29="","",SUMIFS(Weights!$L:$L,Weights!$C:$C,$F29))</f>
        <v/>
      </c>
      <c r="N29" s="4" t="str">
        <f>IF($D29="","",SUMIFS(Weights!$M:$M,Weights!$C:$C,$F29))</f>
        <v/>
      </c>
      <c r="O29" s="4" t="str">
        <f>IF($D29="","",SUMIFS(Weights!$N:$N,Weights!$C:$C,$F29))</f>
        <v/>
      </c>
      <c r="P29" s="4" t="str">
        <f>IF($D29="","",SUMIFS(Weights!$O:$O,Weights!$C:$C,$F29))</f>
        <v/>
      </c>
      <c r="Q29" s="4" t="str">
        <f>IF($D29="","",SUMIFS(Weights!$P:$P,Weights!$C:$C,$F29))</f>
        <v/>
      </c>
      <c r="R29" s="4" t="str">
        <f>IF($D29="","",SUMIFS(Weights!$Q:$Q,Weights!$C:$C,$F29))</f>
        <v/>
      </c>
      <c r="S29" s="4" t="str">
        <f>IF($D29="","",SUMIFS(Weights!$R:$R,Weights!$C:$C,$F29))</f>
        <v/>
      </c>
      <c r="T29" s="4" t="str">
        <f>IF($D29="","",SUMIFS(Weights!$S:$S,Weights!$C:$C,$F29))</f>
        <v/>
      </c>
      <c r="U29" s="4" t="str">
        <f>IF($D29="","",SUMIFS(Weights!$T:$T,Weights!$C:$C,$F29))</f>
        <v/>
      </c>
      <c r="V29" s="4" t="str">
        <f>IF($D29="","",SUMIFS(Weights!$U:$U,Weights!$C:$C,$F29))</f>
        <v/>
      </c>
      <c r="W29" s="4" t="str">
        <f>IF($D29="","",SUMIFS(Weights!$V:$V,Weights!$C:$C,$F29))</f>
        <v/>
      </c>
      <c r="X29" s="4" t="str">
        <f>IF($D29="","",SUMIFS(Weights!$W:$W,Weights!$C:$C,$F29))</f>
        <v/>
      </c>
      <c r="Y29" s="4" t="str">
        <f>IF($D29="","",SUMIFS(Weights!$X:$X,Weights!$C:$C,$F29))</f>
        <v/>
      </c>
      <c r="Z29" s="4" t="str">
        <f>IF($D29="","",SUMIFS(Weights!$Y:$Y,Weights!$C:$C,$F29))</f>
        <v/>
      </c>
      <c r="AA29" s="4" t="str">
        <f>IF($D29="","",SUMIFS(Weights!$Z:$Z,Weights!$C:$C,$F29))</f>
        <v/>
      </c>
      <c r="AB29" s="4" t="str">
        <f>IF($D29="","",SUMIFS(Weights!$AA:$AA,Weights!$C:$C,$F29))</f>
        <v/>
      </c>
      <c r="AC29" s="4" t="str">
        <f>IF($D29="","",SUMIFS(Weights!$AB:$AB,Weights!$C:$C,$F29))</f>
        <v/>
      </c>
      <c r="AD29" s="4" t="str">
        <f>IF($D29="","",SUMIFS(Weights!$AC:$AC,Weights!$C:$C,$F29))</f>
        <v/>
      </c>
      <c r="AE29" s="4" t="str">
        <f>IF($D29="","",SUMIFS(Weights!$AD:$AD,Weights!$C:$C,$F29))</f>
        <v/>
      </c>
      <c r="AF29" s="4" t="str">
        <f>IF($D29="","",SUMIFS(Weights!$AE:$AE,Weights!$C:$C,$F29))</f>
        <v/>
      </c>
      <c r="AG29" s="4" t="str">
        <f>IF($D29="","",SUMIFS(Weights!$AF:$AF,Weights!$C:$C,$F29))</f>
        <v/>
      </c>
      <c r="AH29" s="4" t="str">
        <f>IF($D29="","",SUMIFS(Weights!$AG:$AG,Weights!$C:$C,$F29))</f>
        <v/>
      </c>
      <c r="AI29" s="4" t="str">
        <f>IF($D29="","",SUMIFS(Weights!$AH:$AH,Weights!$C:$C,$F29))</f>
        <v/>
      </c>
      <c r="AJ29" s="4" t="str">
        <f>IF($D29="","",SUMIFS(Weights!$AI:$AI,Weights!$C:$C,$F29))</f>
        <v/>
      </c>
      <c r="AK29" s="4" t="str">
        <f>IF($D29="","",SUMIFS(Weights!$AJ:$AJ,Weights!$C:$C,$F29))</f>
        <v/>
      </c>
      <c r="AL29" s="4" t="str">
        <f>IF($D29="","",SUMIFS(Weights!$AK:$AK,Weights!$C:$C,$F29))</f>
        <v/>
      </c>
      <c r="AM29" s="4" t="str">
        <f>IF($D29="","",SUMIFS(Weights!$AL:$AL,Weights!$C:$C,$F29))</f>
        <v/>
      </c>
    </row>
    <row r="30" spans="1:39" x14ac:dyDescent="0.25">
      <c r="A30" s="4">
        <v>29</v>
      </c>
      <c r="B30" s="4" t="s">
        <v>157</v>
      </c>
      <c r="C30" s="4" t="s">
        <v>158</v>
      </c>
      <c r="D30" s="5" t="s">
        <v>878</v>
      </c>
      <c r="E30" s="4" t="str">
        <f>IF(D30="","",INDEX(Questions!$D$2:$G$81,MATCH(A30,Questions!$A$2:$A$81,0),MATCH(D30,{"A","B","C","D"},0)))</f>
        <v/>
      </c>
      <c r="F30" s="4" t="str">
        <f t="shared" si="0"/>
        <v>29|</v>
      </c>
      <c r="G30" s="4" t="str">
        <f>IF($D30="","",SUMIFS(Weights!$F:$F,Weights!$C:$C,$F30))</f>
        <v/>
      </c>
      <c r="H30" s="4" t="str">
        <f>IF($D30="","",SUMIFS(Weights!$G:$G,Weights!$C:$C,$F30))</f>
        <v/>
      </c>
      <c r="I30" s="4" t="str">
        <f>IF($D30="","",SUMIFS(Weights!$H:$H,Weights!$C:$C,$F30))</f>
        <v/>
      </c>
      <c r="J30" s="4" t="str">
        <f>IF($D30="","",SUMIFS(Weights!$I:$I,Weights!$C:$C,$F30))</f>
        <v/>
      </c>
      <c r="K30" s="4" t="str">
        <f>IF($D30="","",SUMIFS(Weights!$J:$J,Weights!$C:$C,$F30))</f>
        <v/>
      </c>
      <c r="L30" s="4" t="str">
        <f>IF($D30="","",SUMIFS(Weights!$K:$K,Weights!$C:$C,$F30))</f>
        <v/>
      </c>
      <c r="M30" s="4" t="str">
        <f>IF($D30="","",SUMIFS(Weights!$L:$L,Weights!$C:$C,$F30))</f>
        <v/>
      </c>
      <c r="N30" s="4" t="str">
        <f>IF($D30="","",SUMIFS(Weights!$M:$M,Weights!$C:$C,$F30))</f>
        <v/>
      </c>
      <c r="O30" s="4" t="str">
        <f>IF($D30="","",SUMIFS(Weights!$N:$N,Weights!$C:$C,$F30))</f>
        <v/>
      </c>
      <c r="P30" s="4" t="str">
        <f>IF($D30="","",SUMIFS(Weights!$O:$O,Weights!$C:$C,$F30))</f>
        <v/>
      </c>
      <c r="Q30" s="4" t="str">
        <f>IF($D30="","",SUMIFS(Weights!$P:$P,Weights!$C:$C,$F30))</f>
        <v/>
      </c>
      <c r="R30" s="4" t="str">
        <f>IF($D30="","",SUMIFS(Weights!$Q:$Q,Weights!$C:$C,$F30))</f>
        <v/>
      </c>
      <c r="S30" s="4" t="str">
        <f>IF($D30="","",SUMIFS(Weights!$R:$R,Weights!$C:$C,$F30))</f>
        <v/>
      </c>
      <c r="T30" s="4" t="str">
        <f>IF($D30="","",SUMIFS(Weights!$S:$S,Weights!$C:$C,$F30))</f>
        <v/>
      </c>
      <c r="U30" s="4" t="str">
        <f>IF($D30="","",SUMIFS(Weights!$T:$T,Weights!$C:$C,$F30))</f>
        <v/>
      </c>
      <c r="V30" s="4" t="str">
        <f>IF($D30="","",SUMIFS(Weights!$U:$U,Weights!$C:$C,$F30))</f>
        <v/>
      </c>
      <c r="W30" s="4" t="str">
        <f>IF($D30="","",SUMIFS(Weights!$V:$V,Weights!$C:$C,$F30))</f>
        <v/>
      </c>
      <c r="X30" s="4" t="str">
        <f>IF($D30="","",SUMIFS(Weights!$W:$W,Weights!$C:$C,$F30))</f>
        <v/>
      </c>
      <c r="Y30" s="4" t="str">
        <f>IF($D30="","",SUMIFS(Weights!$X:$X,Weights!$C:$C,$F30))</f>
        <v/>
      </c>
      <c r="Z30" s="4" t="str">
        <f>IF($D30="","",SUMIFS(Weights!$Y:$Y,Weights!$C:$C,$F30))</f>
        <v/>
      </c>
      <c r="AA30" s="4" t="str">
        <f>IF($D30="","",SUMIFS(Weights!$Z:$Z,Weights!$C:$C,$F30))</f>
        <v/>
      </c>
      <c r="AB30" s="4" t="str">
        <f>IF($D30="","",SUMIFS(Weights!$AA:$AA,Weights!$C:$C,$F30))</f>
        <v/>
      </c>
      <c r="AC30" s="4" t="str">
        <f>IF($D30="","",SUMIFS(Weights!$AB:$AB,Weights!$C:$C,$F30))</f>
        <v/>
      </c>
      <c r="AD30" s="4" t="str">
        <f>IF($D30="","",SUMIFS(Weights!$AC:$AC,Weights!$C:$C,$F30))</f>
        <v/>
      </c>
      <c r="AE30" s="4" t="str">
        <f>IF($D30="","",SUMIFS(Weights!$AD:$AD,Weights!$C:$C,$F30))</f>
        <v/>
      </c>
      <c r="AF30" s="4" t="str">
        <f>IF($D30="","",SUMIFS(Weights!$AE:$AE,Weights!$C:$C,$F30))</f>
        <v/>
      </c>
      <c r="AG30" s="4" t="str">
        <f>IF($D30="","",SUMIFS(Weights!$AF:$AF,Weights!$C:$C,$F30))</f>
        <v/>
      </c>
      <c r="AH30" s="4" t="str">
        <f>IF($D30="","",SUMIFS(Weights!$AG:$AG,Weights!$C:$C,$F30))</f>
        <v/>
      </c>
      <c r="AI30" s="4" t="str">
        <f>IF($D30="","",SUMIFS(Weights!$AH:$AH,Weights!$C:$C,$F30))</f>
        <v/>
      </c>
      <c r="AJ30" s="4" t="str">
        <f>IF($D30="","",SUMIFS(Weights!$AI:$AI,Weights!$C:$C,$F30))</f>
        <v/>
      </c>
      <c r="AK30" s="4" t="str">
        <f>IF($D30="","",SUMIFS(Weights!$AJ:$AJ,Weights!$C:$C,$F30))</f>
        <v/>
      </c>
      <c r="AL30" s="4" t="str">
        <f>IF($D30="","",SUMIFS(Weights!$AK:$AK,Weights!$C:$C,$F30))</f>
        <v/>
      </c>
      <c r="AM30" s="4" t="str">
        <f>IF($D30="","",SUMIFS(Weights!$AL:$AL,Weights!$C:$C,$F30))</f>
        <v/>
      </c>
    </row>
    <row r="31" spans="1:39" x14ac:dyDescent="0.25">
      <c r="A31" s="4">
        <v>30</v>
      </c>
      <c r="B31" s="4" t="s">
        <v>157</v>
      </c>
      <c r="C31" s="4" t="s">
        <v>161</v>
      </c>
      <c r="D31" s="5" t="s">
        <v>878</v>
      </c>
      <c r="E31" s="4" t="str">
        <f>IF(D31="","",INDEX(Questions!$D$2:$G$81,MATCH(A31,Questions!$A$2:$A$81,0),MATCH(D31,{"A","B","C","D"},0)))</f>
        <v/>
      </c>
      <c r="F31" s="4" t="str">
        <f t="shared" si="0"/>
        <v>30|</v>
      </c>
      <c r="G31" s="4" t="str">
        <f>IF($D31="","",SUMIFS(Weights!$F:$F,Weights!$C:$C,$F31))</f>
        <v/>
      </c>
      <c r="H31" s="4" t="str">
        <f>IF($D31="","",SUMIFS(Weights!$G:$G,Weights!$C:$C,$F31))</f>
        <v/>
      </c>
      <c r="I31" s="4" t="str">
        <f>IF($D31="","",SUMIFS(Weights!$H:$H,Weights!$C:$C,$F31))</f>
        <v/>
      </c>
      <c r="J31" s="4" t="str">
        <f>IF($D31="","",SUMIFS(Weights!$I:$I,Weights!$C:$C,$F31))</f>
        <v/>
      </c>
      <c r="K31" s="4" t="str">
        <f>IF($D31="","",SUMIFS(Weights!$J:$J,Weights!$C:$C,$F31))</f>
        <v/>
      </c>
      <c r="L31" s="4" t="str">
        <f>IF($D31="","",SUMIFS(Weights!$K:$K,Weights!$C:$C,$F31))</f>
        <v/>
      </c>
      <c r="M31" s="4" t="str">
        <f>IF($D31="","",SUMIFS(Weights!$L:$L,Weights!$C:$C,$F31))</f>
        <v/>
      </c>
      <c r="N31" s="4" t="str">
        <f>IF($D31="","",SUMIFS(Weights!$M:$M,Weights!$C:$C,$F31))</f>
        <v/>
      </c>
      <c r="O31" s="4" t="str">
        <f>IF($D31="","",SUMIFS(Weights!$N:$N,Weights!$C:$C,$F31))</f>
        <v/>
      </c>
      <c r="P31" s="4" t="str">
        <f>IF($D31="","",SUMIFS(Weights!$O:$O,Weights!$C:$C,$F31))</f>
        <v/>
      </c>
      <c r="Q31" s="4" t="str">
        <f>IF($D31="","",SUMIFS(Weights!$P:$P,Weights!$C:$C,$F31))</f>
        <v/>
      </c>
      <c r="R31" s="4" t="str">
        <f>IF($D31="","",SUMIFS(Weights!$Q:$Q,Weights!$C:$C,$F31))</f>
        <v/>
      </c>
      <c r="S31" s="4" t="str">
        <f>IF($D31="","",SUMIFS(Weights!$R:$R,Weights!$C:$C,$F31))</f>
        <v/>
      </c>
      <c r="T31" s="4" t="str">
        <f>IF($D31="","",SUMIFS(Weights!$S:$S,Weights!$C:$C,$F31))</f>
        <v/>
      </c>
      <c r="U31" s="4" t="str">
        <f>IF($D31="","",SUMIFS(Weights!$T:$T,Weights!$C:$C,$F31))</f>
        <v/>
      </c>
      <c r="V31" s="4" t="str">
        <f>IF($D31="","",SUMIFS(Weights!$U:$U,Weights!$C:$C,$F31))</f>
        <v/>
      </c>
      <c r="W31" s="4" t="str">
        <f>IF($D31="","",SUMIFS(Weights!$V:$V,Weights!$C:$C,$F31))</f>
        <v/>
      </c>
      <c r="X31" s="4" t="str">
        <f>IF($D31="","",SUMIFS(Weights!$W:$W,Weights!$C:$C,$F31))</f>
        <v/>
      </c>
      <c r="Y31" s="4" t="str">
        <f>IF($D31="","",SUMIFS(Weights!$X:$X,Weights!$C:$C,$F31))</f>
        <v/>
      </c>
      <c r="Z31" s="4" t="str">
        <f>IF($D31="","",SUMIFS(Weights!$Y:$Y,Weights!$C:$C,$F31))</f>
        <v/>
      </c>
      <c r="AA31" s="4" t="str">
        <f>IF($D31="","",SUMIFS(Weights!$Z:$Z,Weights!$C:$C,$F31))</f>
        <v/>
      </c>
      <c r="AB31" s="4" t="str">
        <f>IF($D31="","",SUMIFS(Weights!$AA:$AA,Weights!$C:$C,$F31))</f>
        <v/>
      </c>
      <c r="AC31" s="4" t="str">
        <f>IF($D31="","",SUMIFS(Weights!$AB:$AB,Weights!$C:$C,$F31))</f>
        <v/>
      </c>
      <c r="AD31" s="4" t="str">
        <f>IF($D31="","",SUMIFS(Weights!$AC:$AC,Weights!$C:$C,$F31))</f>
        <v/>
      </c>
      <c r="AE31" s="4" t="str">
        <f>IF($D31="","",SUMIFS(Weights!$AD:$AD,Weights!$C:$C,$F31))</f>
        <v/>
      </c>
      <c r="AF31" s="4" t="str">
        <f>IF($D31="","",SUMIFS(Weights!$AE:$AE,Weights!$C:$C,$F31))</f>
        <v/>
      </c>
      <c r="AG31" s="4" t="str">
        <f>IF($D31="","",SUMIFS(Weights!$AF:$AF,Weights!$C:$C,$F31))</f>
        <v/>
      </c>
      <c r="AH31" s="4" t="str">
        <f>IF($D31="","",SUMIFS(Weights!$AG:$AG,Weights!$C:$C,$F31))</f>
        <v/>
      </c>
      <c r="AI31" s="4" t="str">
        <f>IF($D31="","",SUMIFS(Weights!$AH:$AH,Weights!$C:$C,$F31))</f>
        <v/>
      </c>
      <c r="AJ31" s="4" t="str">
        <f>IF($D31="","",SUMIFS(Weights!$AI:$AI,Weights!$C:$C,$F31))</f>
        <v/>
      </c>
      <c r="AK31" s="4" t="str">
        <f>IF($D31="","",SUMIFS(Weights!$AJ:$AJ,Weights!$C:$C,$F31))</f>
        <v/>
      </c>
      <c r="AL31" s="4" t="str">
        <f>IF($D31="","",SUMIFS(Weights!$AK:$AK,Weights!$C:$C,$F31))</f>
        <v/>
      </c>
      <c r="AM31" s="4" t="str">
        <f>IF($D31="","",SUMIFS(Weights!$AL:$AL,Weights!$C:$C,$F31))</f>
        <v/>
      </c>
    </row>
    <row r="32" spans="1:39" x14ac:dyDescent="0.25">
      <c r="A32" s="4">
        <v>31</v>
      </c>
      <c r="B32" s="4" t="s">
        <v>157</v>
      </c>
      <c r="C32" s="4" t="s">
        <v>166</v>
      </c>
      <c r="D32" s="5" t="s">
        <v>878</v>
      </c>
      <c r="E32" s="4" t="str">
        <f>IF(D32="","",INDEX(Questions!$D$2:$G$81,MATCH(A32,Questions!$A$2:$A$81,0),MATCH(D32,{"A","B","C","D"},0)))</f>
        <v/>
      </c>
      <c r="F32" s="4" t="str">
        <f t="shared" si="0"/>
        <v>31|</v>
      </c>
      <c r="G32" s="4" t="str">
        <f>IF($D32="","",SUMIFS(Weights!$F:$F,Weights!$C:$C,$F32))</f>
        <v/>
      </c>
      <c r="H32" s="4" t="str">
        <f>IF($D32="","",SUMIFS(Weights!$G:$G,Weights!$C:$C,$F32))</f>
        <v/>
      </c>
      <c r="I32" s="4" t="str">
        <f>IF($D32="","",SUMIFS(Weights!$H:$H,Weights!$C:$C,$F32))</f>
        <v/>
      </c>
      <c r="J32" s="4" t="str">
        <f>IF($D32="","",SUMIFS(Weights!$I:$I,Weights!$C:$C,$F32))</f>
        <v/>
      </c>
      <c r="K32" s="4" t="str">
        <f>IF($D32="","",SUMIFS(Weights!$J:$J,Weights!$C:$C,$F32))</f>
        <v/>
      </c>
      <c r="L32" s="4" t="str">
        <f>IF($D32="","",SUMIFS(Weights!$K:$K,Weights!$C:$C,$F32))</f>
        <v/>
      </c>
      <c r="M32" s="4" t="str">
        <f>IF($D32="","",SUMIFS(Weights!$L:$L,Weights!$C:$C,$F32))</f>
        <v/>
      </c>
      <c r="N32" s="4" t="str">
        <f>IF($D32="","",SUMIFS(Weights!$M:$M,Weights!$C:$C,$F32))</f>
        <v/>
      </c>
      <c r="O32" s="4" t="str">
        <f>IF($D32="","",SUMIFS(Weights!$N:$N,Weights!$C:$C,$F32))</f>
        <v/>
      </c>
      <c r="P32" s="4" t="str">
        <f>IF($D32="","",SUMIFS(Weights!$O:$O,Weights!$C:$C,$F32))</f>
        <v/>
      </c>
      <c r="Q32" s="4" t="str">
        <f>IF($D32="","",SUMIFS(Weights!$P:$P,Weights!$C:$C,$F32))</f>
        <v/>
      </c>
      <c r="R32" s="4" t="str">
        <f>IF($D32="","",SUMIFS(Weights!$Q:$Q,Weights!$C:$C,$F32))</f>
        <v/>
      </c>
      <c r="S32" s="4" t="str">
        <f>IF($D32="","",SUMIFS(Weights!$R:$R,Weights!$C:$C,$F32))</f>
        <v/>
      </c>
      <c r="T32" s="4" t="str">
        <f>IF($D32="","",SUMIFS(Weights!$S:$S,Weights!$C:$C,$F32))</f>
        <v/>
      </c>
      <c r="U32" s="4" t="str">
        <f>IF($D32="","",SUMIFS(Weights!$T:$T,Weights!$C:$C,$F32))</f>
        <v/>
      </c>
      <c r="V32" s="4" t="str">
        <f>IF($D32="","",SUMIFS(Weights!$U:$U,Weights!$C:$C,$F32))</f>
        <v/>
      </c>
      <c r="W32" s="4" t="str">
        <f>IF($D32="","",SUMIFS(Weights!$V:$V,Weights!$C:$C,$F32))</f>
        <v/>
      </c>
      <c r="X32" s="4" t="str">
        <f>IF($D32="","",SUMIFS(Weights!$W:$W,Weights!$C:$C,$F32))</f>
        <v/>
      </c>
      <c r="Y32" s="4" t="str">
        <f>IF($D32="","",SUMIFS(Weights!$X:$X,Weights!$C:$C,$F32))</f>
        <v/>
      </c>
      <c r="Z32" s="4" t="str">
        <f>IF($D32="","",SUMIFS(Weights!$Y:$Y,Weights!$C:$C,$F32))</f>
        <v/>
      </c>
      <c r="AA32" s="4" t="str">
        <f>IF($D32="","",SUMIFS(Weights!$Z:$Z,Weights!$C:$C,$F32))</f>
        <v/>
      </c>
      <c r="AB32" s="4" t="str">
        <f>IF($D32="","",SUMIFS(Weights!$AA:$AA,Weights!$C:$C,$F32))</f>
        <v/>
      </c>
      <c r="AC32" s="4" t="str">
        <f>IF($D32="","",SUMIFS(Weights!$AB:$AB,Weights!$C:$C,$F32))</f>
        <v/>
      </c>
      <c r="AD32" s="4" t="str">
        <f>IF($D32="","",SUMIFS(Weights!$AC:$AC,Weights!$C:$C,$F32))</f>
        <v/>
      </c>
      <c r="AE32" s="4" t="str">
        <f>IF($D32="","",SUMIFS(Weights!$AD:$AD,Weights!$C:$C,$F32))</f>
        <v/>
      </c>
      <c r="AF32" s="4" t="str">
        <f>IF($D32="","",SUMIFS(Weights!$AE:$AE,Weights!$C:$C,$F32))</f>
        <v/>
      </c>
      <c r="AG32" s="4" t="str">
        <f>IF($D32="","",SUMIFS(Weights!$AF:$AF,Weights!$C:$C,$F32))</f>
        <v/>
      </c>
      <c r="AH32" s="4" t="str">
        <f>IF($D32="","",SUMIFS(Weights!$AG:$AG,Weights!$C:$C,$F32))</f>
        <v/>
      </c>
      <c r="AI32" s="4" t="str">
        <f>IF($D32="","",SUMIFS(Weights!$AH:$AH,Weights!$C:$C,$F32))</f>
        <v/>
      </c>
      <c r="AJ32" s="4" t="str">
        <f>IF($D32="","",SUMIFS(Weights!$AI:$AI,Weights!$C:$C,$F32))</f>
        <v/>
      </c>
      <c r="AK32" s="4" t="str">
        <f>IF($D32="","",SUMIFS(Weights!$AJ:$AJ,Weights!$C:$C,$F32))</f>
        <v/>
      </c>
      <c r="AL32" s="4" t="str">
        <f>IF($D32="","",SUMIFS(Weights!$AK:$AK,Weights!$C:$C,$F32))</f>
        <v/>
      </c>
      <c r="AM32" s="4" t="str">
        <f>IF($D32="","",SUMIFS(Weights!$AL:$AL,Weights!$C:$C,$F32))</f>
        <v/>
      </c>
    </row>
    <row r="33" spans="1:39" x14ac:dyDescent="0.25">
      <c r="A33" s="4">
        <v>32</v>
      </c>
      <c r="B33" s="4" t="s">
        <v>157</v>
      </c>
      <c r="C33" s="4" t="s">
        <v>171</v>
      </c>
      <c r="D33" s="5" t="s">
        <v>878</v>
      </c>
      <c r="E33" s="4" t="str">
        <f>IF(D33="","",INDEX(Questions!$D$2:$G$81,MATCH(A33,Questions!$A$2:$A$81,0),MATCH(D33,{"A","B","C","D"},0)))</f>
        <v/>
      </c>
      <c r="F33" s="4" t="str">
        <f t="shared" si="0"/>
        <v>32|</v>
      </c>
      <c r="G33" s="4" t="str">
        <f>IF($D33="","",SUMIFS(Weights!$F:$F,Weights!$C:$C,$F33))</f>
        <v/>
      </c>
      <c r="H33" s="4" t="str">
        <f>IF($D33="","",SUMIFS(Weights!$G:$G,Weights!$C:$C,$F33))</f>
        <v/>
      </c>
      <c r="I33" s="4" t="str">
        <f>IF($D33="","",SUMIFS(Weights!$H:$H,Weights!$C:$C,$F33))</f>
        <v/>
      </c>
      <c r="J33" s="4" t="str">
        <f>IF($D33="","",SUMIFS(Weights!$I:$I,Weights!$C:$C,$F33))</f>
        <v/>
      </c>
      <c r="K33" s="4" t="str">
        <f>IF($D33="","",SUMIFS(Weights!$J:$J,Weights!$C:$C,$F33))</f>
        <v/>
      </c>
      <c r="L33" s="4" t="str">
        <f>IF($D33="","",SUMIFS(Weights!$K:$K,Weights!$C:$C,$F33))</f>
        <v/>
      </c>
      <c r="M33" s="4" t="str">
        <f>IF($D33="","",SUMIFS(Weights!$L:$L,Weights!$C:$C,$F33))</f>
        <v/>
      </c>
      <c r="N33" s="4" t="str">
        <f>IF($D33="","",SUMIFS(Weights!$M:$M,Weights!$C:$C,$F33))</f>
        <v/>
      </c>
      <c r="O33" s="4" t="str">
        <f>IF($D33="","",SUMIFS(Weights!$N:$N,Weights!$C:$C,$F33))</f>
        <v/>
      </c>
      <c r="P33" s="4" t="str">
        <f>IF($D33="","",SUMIFS(Weights!$O:$O,Weights!$C:$C,$F33))</f>
        <v/>
      </c>
      <c r="Q33" s="4" t="str">
        <f>IF($D33="","",SUMIFS(Weights!$P:$P,Weights!$C:$C,$F33))</f>
        <v/>
      </c>
      <c r="R33" s="4" t="str">
        <f>IF($D33="","",SUMIFS(Weights!$Q:$Q,Weights!$C:$C,$F33))</f>
        <v/>
      </c>
      <c r="S33" s="4" t="str">
        <f>IF($D33="","",SUMIFS(Weights!$R:$R,Weights!$C:$C,$F33))</f>
        <v/>
      </c>
      <c r="T33" s="4" t="str">
        <f>IF($D33="","",SUMIFS(Weights!$S:$S,Weights!$C:$C,$F33))</f>
        <v/>
      </c>
      <c r="U33" s="4" t="str">
        <f>IF($D33="","",SUMIFS(Weights!$T:$T,Weights!$C:$C,$F33))</f>
        <v/>
      </c>
      <c r="V33" s="4" t="str">
        <f>IF($D33="","",SUMIFS(Weights!$U:$U,Weights!$C:$C,$F33))</f>
        <v/>
      </c>
      <c r="W33" s="4" t="str">
        <f>IF($D33="","",SUMIFS(Weights!$V:$V,Weights!$C:$C,$F33))</f>
        <v/>
      </c>
      <c r="X33" s="4" t="str">
        <f>IF($D33="","",SUMIFS(Weights!$W:$W,Weights!$C:$C,$F33))</f>
        <v/>
      </c>
      <c r="Y33" s="4" t="str">
        <f>IF($D33="","",SUMIFS(Weights!$X:$X,Weights!$C:$C,$F33))</f>
        <v/>
      </c>
      <c r="Z33" s="4" t="str">
        <f>IF($D33="","",SUMIFS(Weights!$Y:$Y,Weights!$C:$C,$F33))</f>
        <v/>
      </c>
      <c r="AA33" s="4" t="str">
        <f>IF($D33="","",SUMIFS(Weights!$Z:$Z,Weights!$C:$C,$F33))</f>
        <v/>
      </c>
      <c r="AB33" s="4" t="str">
        <f>IF($D33="","",SUMIFS(Weights!$AA:$AA,Weights!$C:$C,$F33))</f>
        <v/>
      </c>
      <c r="AC33" s="4" t="str">
        <f>IF($D33="","",SUMIFS(Weights!$AB:$AB,Weights!$C:$C,$F33))</f>
        <v/>
      </c>
      <c r="AD33" s="4" t="str">
        <f>IF($D33="","",SUMIFS(Weights!$AC:$AC,Weights!$C:$C,$F33))</f>
        <v/>
      </c>
      <c r="AE33" s="4" t="str">
        <f>IF($D33="","",SUMIFS(Weights!$AD:$AD,Weights!$C:$C,$F33))</f>
        <v/>
      </c>
      <c r="AF33" s="4" t="str">
        <f>IF($D33="","",SUMIFS(Weights!$AE:$AE,Weights!$C:$C,$F33))</f>
        <v/>
      </c>
      <c r="AG33" s="4" t="str">
        <f>IF($D33="","",SUMIFS(Weights!$AF:$AF,Weights!$C:$C,$F33))</f>
        <v/>
      </c>
      <c r="AH33" s="4" t="str">
        <f>IF($D33="","",SUMIFS(Weights!$AG:$AG,Weights!$C:$C,$F33))</f>
        <v/>
      </c>
      <c r="AI33" s="4" t="str">
        <f>IF($D33="","",SUMIFS(Weights!$AH:$AH,Weights!$C:$C,$F33))</f>
        <v/>
      </c>
      <c r="AJ33" s="4" t="str">
        <f>IF($D33="","",SUMIFS(Weights!$AI:$AI,Weights!$C:$C,$F33))</f>
        <v/>
      </c>
      <c r="AK33" s="4" t="str">
        <f>IF($D33="","",SUMIFS(Weights!$AJ:$AJ,Weights!$C:$C,$F33))</f>
        <v/>
      </c>
      <c r="AL33" s="4" t="str">
        <f>IF($D33="","",SUMIFS(Weights!$AK:$AK,Weights!$C:$C,$F33))</f>
        <v/>
      </c>
      <c r="AM33" s="4" t="str">
        <f>IF($D33="","",SUMIFS(Weights!$AL:$AL,Weights!$C:$C,$F33))</f>
        <v/>
      </c>
    </row>
    <row r="34" spans="1:39" x14ac:dyDescent="0.25">
      <c r="A34" s="4">
        <v>33</v>
      </c>
      <c r="B34" s="4" t="s">
        <v>157</v>
      </c>
      <c r="C34" s="4" t="s">
        <v>176</v>
      </c>
      <c r="D34" s="5" t="s">
        <v>878</v>
      </c>
      <c r="E34" s="4" t="str">
        <f>IF(D34="","",INDEX(Questions!$D$2:$G$81,MATCH(A34,Questions!$A$2:$A$81,0),MATCH(D34,{"A","B","C","D"},0)))</f>
        <v/>
      </c>
      <c r="F34" s="4" t="str">
        <f t="shared" ref="F34:F65" si="1">A34&amp;"|"&amp;D34</f>
        <v>33|</v>
      </c>
      <c r="G34" s="4" t="str">
        <f>IF($D34="","",SUMIFS(Weights!$F:$F,Weights!$C:$C,$F34))</f>
        <v/>
      </c>
      <c r="H34" s="4" t="str">
        <f>IF($D34="","",SUMIFS(Weights!$G:$G,Weights!$C:$C,$F34))</f>
        <v/>
      </c>
      <c r="I34" s="4" t="str">
        <f>IF($D34="","",SUMIFS(Weights!$H:$H,Weights!$C:$C,$F34))</f>
        <v/>
      </c>
      <c r="J34" s="4" t="str">
        <f>IF($D34="","",SUMIFS(Weights!$I:$I,Weights!$C:$C,$F34))</f>
        <v/>
      </c>
      <c r="K34" s="4" t="str">
        <f>IF($D34="","",SUMIFS(Weights!$J:$J,Weights!$C:$C,$F34))</f>
        <v/>
      </c>
      <c r="L34" s="4" t="str">
        <f>IF($D34="","",SUMIFS(Weights!$K:$K,Weights!$C:$C,$F34))</f>
        <v/>
      </c>
      <c r="M34" s="4" t="str">
        <f>IF($D34="","",SUMIFS(Weights!$L:$L,Weights!$C:$C,$F34))</f>
        <v/>
      </c>
      <c r="N34" s="4" t="str">
        <f>IF($D34="","",SUMIFS(Weights!$M:$M,Weights!$C:$C,$F34))</f>
        <v/>
      </c>
      <c r="O34" s="4" t="str">
        <f>IF($D34="","",SUMIFS(Weights!$N:$N,Weights!$C:$C,$F34))</f>
        <v/>
      </c>
      <c r="P34" s="4" t="str">
        <f>IF($D34="","",SUMIFS(Weights!$O:$O,Weights!$C:$C,$F34))</f>
        <v/>
      </c>
      <c r="Q34" s="4" t="str">
        <f>IF($D34="","",SUMIFS(Weights!$P:$P,Weights!$C:$C,$F34))</f>
        <v/>
      </c>
      <c r="R34" s="4" t="str">
        <f>IF($D34="","",SUMIFS(Weights!$Q:$Q,Weights!$C:$C,$F34))</f>
        <v/>
      </c>
      <c r="S34" s="4" t="str">
        <f>IF($D34="","",SUMIFS(Weights!$R:$R,Weights!$C:$C,$F34))</f>
        <v/>
      </c>
      <c r="T34" s="4" t="str">
        <f>IF($D34="","",SUMIFS(Weights!$S:$S,Weights!$C:$C,$F34))</f>
        <v/>
      </c>
      <c r="U34" s="4" t="str">
        <f>IF($D34="","",SUMIFS(Weights!$T:$T,Weights!$C:$C,$F34))</f>
        <v/>
      </c>
      <c r="V34" s="4" t="str">
        <f>IF($D34="","",SUMIFS(Weights!$U:$U,Weights!$C:$C,$F34))</f>
        <v/>
      </c>
      <c r="W34" s="4" t="str">
        <f>IF($D34="","",SUMIFS(Weights!$V:$V,Weights!$C:$C,$F34))</f>
        <v/>
      </c>
      <c r="X34" s="4" t="str">
        <f>IF($D34="","",SUMIFS(Weights!$W:$W,Weights!$C:$C,$F34))</f>
        <v/>
      </c>
      <c r="Y34" s="4" t="str">
        <f>IF($D34="","",SUMIFS(Weights!$X:$X,Weights!$C:$C,$F34))</f>
        <v/>
      </c>
      <c r="Z34" s="4" t="str">
        <f>IF($D34="","",SUMIFS(Weights!$Y:$Y,Weights!$C:$C,$F34))</f>
        <v/>
      </c>
      <c r="AA34" s="4" t="str">
        <f>IF($D34="","",SUMIFS(Weights!$Z:$Z,Weights!$C:$C,$F34))</f>
        <v/>
      </c>
      <c r="AB34" s="4" t="str">
        <f>IF($D34="","",SUMIFS(Weights!$AA:$AA,Weights!$C:$C,$F34))</f>
        <v/>
      </c>
      <c r="AC34" s="4" t="str">
        <f>IF($D34="","",SUMIFS(Weights!$AB:$AB,Weights!$C:$C,$F34))</f>
        <v/>
      </c>
      <c r="AD34" s="4" t="str">
        <f>IF($D34="","",SUMIFS(Weights!$AC:$AC,Weights!$C:$C,$F34))</f>
        <v/>
      </c>
      <c r="AE34" s="4" t="str">
        <f>IF($D34="","",SUMIFS(Weights!$AD:$AD,Weights!$C:$C,$F34))</f>
        <v/>
      </c>
      <c r="AF34" s="4" t="str">
        <f>IF($D34="","",SUMIFS(Weights!$AE:$AE,Weights!$C:$C,$F34))</f>
        <v/>
      </c>
      <c r="AG34" s="4" t="str">
        <f>IF($D34="","",SUMIFS(Weights!$AF:$AF,Weights!$C:$C,$F34))</f>
        <v/>
      </c>
      <c r="AH34" s="4" t="str">
        <f>IF($D34="","",SUMIFS(Weights!$AG:$AG,Weights!$C:$C,$F34))</f>
        <v/>
      </c>
      <c r="AI34" s="4" t="str">
        <f>IF($D34="","",SUMIFS(Weights!$AH:$AH,Weights!$C:$C,$F34))</f>
        <v/>
      </c>
      <c r="AJ34" s="4" t="str">
        <f>IF($D34="","",SUMIFS(Weights!$AI:$AI,Weights!$C:$C,$F34))</f>
        <v/>
      </c>
      <c r="AK34" s="4" t="str">
        <f>IF($D34="","",SUMIFS(Weights!$AJ:$AJ,Weights!$C:$C,$F34))</f>
        <v/>
      </c>
      <c r="AL34" s="4" t="str">
        <f>IF($D34="","",SUMIFS(Weights!$AK:$AK,Weights!$C:$C,$F34))</f>
        <v/>
      </c>
      <c r="AM34" s="4" t="str">
        <f>IF($D34="","",SUMIFS(Weights!$AL:$AL,Weights!$C:$C,$F34))</f>
        <v/>
      </c>
    </row>
    <row r="35" spans="1:39" x14ac:dyDescent="0.25">
      <c r="A35" s="4">
        <v>34</v>
      </c>
      <c r="B35" s="4" t="s">
        <v>157</v>
      </c>
      <c r="C35" s="4" t="s">
        <v>180</v>
      </c>
      <c r="D35" s="5" t="s">
        <v>878</v>
      </c>
      <c r="E35" s="4" t="str">
        <f>IF(D35="","",INDEX(Questions!$D$2:$G$81,MATCH(A35,Questions!$A$2:$A$81,0),MATCH(D35,{"A","B","C","D"},0)))</f>
        <v/>
      </c>
      <c r="F35" s="4" t="str">
        <f t="shared" si="1"/>
        <v>34|</v>
      </c>
      <c r="G35" s="4" t="str">
        <f>IF($D35="","",SUMIFS(Weights!$F:$F,Weights!$C:$C,$F35))</f>
        <v/>
      </c>
      <c r="H35" s="4" t="str">
        <f>IF($D35="","",SUMIFS(Weights!$G:$G,Weights!$C:$C,$F35))</f>
        <v/>
      </c>
      <c r="I35" s="4" t="str">
        <f>IF($D35="","",SUMIFS(Weights!$H:$H,Weights!$C:$C,$F35))</f>
        <v/>
      </c>
      <c r="J35" s="4" t="str">
        <f>IF($D35="","",SUMIFS(Weights!$I:$I,Weights!$C:$C,$F35))</f>
        <v/>
      </c>
      <c r="K35" s="4" t="str">
        <f>IF($D35="","",SUMIFS(Weights!$J:$J,Weights!$C:$C,$F35))</f>
        <v/>
      </c>
      <c r="L35" s="4" t="str">
        <f>IF($D35="","",SUMIFS(Weights!$K:$K,Weights!$C:$C,$F35))</f>
        <v/>
      </c>
      <c r="M35" s="4" t="str">
        <f>IF($D35="","",SUMIFS(Weights!$L:$L,Weights!$C:$C,$F35))</f>
        <v/>
      </c>
      <c r="N35" s="4" t="str">
        <f>IF($D35="","",SUMIFS(Weights!$M:$M,Weights!$C:$C,$F35))</f>
        <v/>
      </c>
      <c r="O35" s="4" t="str">
        <f>IF($D35="","",SUMIFS(Weights!$N:$N,Weights!$C:$C,$F35))</f>
        <v/>
      </c>
      <c r="P35" s="4" t="str">
        <f>IF($D35="","",SUMIFS(Weights!$O:$O,Weights!$C:$C,$F35))</f>
        <v/>
      </c>
      <c r="Q35" s="4" t="str">
        <f>IF($D35="","",SUMIFS(Weights!$P:$P,Weights!$C:$C,$F35))</f>
        <v/>
      </c>
      <c r="R35" s="4" t="str">
        <f>IF($D35="","",SUMIFS(Weights!$Q:$Q,Weights!$C:$C,$F35))</f>
        <v/>
      </c>
      <c r="S35" s="4" t="str">
        <f>IF($D35="","",SUMIFS(Weights!$R:$R,Weights!$C:$C,$F35))</f>
        <v/>
      </c>
      <c r="T35" s="4" t="str">
        <f>IF($D35="","",SUMIFS(Weights!$S:$S,Weights!$C:$C,$F35))</f>
        <v/>
      </c>
      <c r="U35" s="4" t="str">
        <f>IF($D35="","",SUMIFS(Weights!$T:$T,Weights!$C:$C,$F35))</f>
        <v/>
      </c>
      <c r="V35" s="4" t="str">
        <f>IF($D35="","",SUMIFS(Weights!$U:$U,Weights!$C:$C,$F35))</f>
        <v/>
      </c>
      <c r="W35" s="4" t="str">
        <f>IF($D35="","",SUMIFS(Weights!$V:$V,Weights!$C:$C,$F35))</f>
        <v/>
      </c>
      <c r="X35" s="4" t="str">
        <f>IF($D35="","",SUMIFS(Weights!$W:$W,Weights!$C:$C,$F35))</f>
        <v/>
      </c>
      <c r="Y35" s="4" t="str">
        <f>IF($D35="","",SUMIFS(Weights!$X:$X,Weights!$C:$C,$F35))</f>
        <v/>
      </c>
      <c r="Z35" s="4" t="str">
        <f>IF($D35="","",SUMIFS(Weights!$Y:$Y,Weights!$C:$C,$F35))</f>
        <v/>
      </c>
      <c r="AA35" s="4" t="str">
        <f>IF($D35="","",SUMIFS(Weights!$Z:$Z,Weights!$C:$C,$F35))</f>
        <v/>
      </c>
      <c r="AB35" s="4" t="str">
        <f>IF($D35="","",SUMIFS(Weights!$AA:$AA,Weights!$C:$C,$F35))</f>
        <v/>
      </c>
      <c r="AC35" s="4" t="str">
        <f>IF($D35="","",SUMIFS(Weights!$AB:$AB,Weights!$C:$C,$F35))</f>
        <v/>
      </c>
      <c r="AD35" s="4" t="str">
        <f>IF($D35="","",SUMIFS(Weights!$AC:$AC,Weights!$C:$C,$F35))</f>
        <v/>
      </c>
      <c r="AE35" s="4" t="str">
        <f>IF($D35="","",SUMIFS(Weights!$AD:$AD,Weights!$C:$C,$F35))</f>
        <v/>
      </c>
      <c r="AF35" s="4" t="str">
        <f>IF($D35="","",SUMIFS(Weights!$AE:$AE,Weights!$C:$C,$F35))</f>
        <v/>
      </c>
      <c r="AG35" s="4" t="str">
        <f>IF($D35="","",SUMIFS(Weights!$AF:$AF,Weights!$C:$C,$F35))</f>
        <v/>
      </c>
      <c r="AH35" s="4" t="str">
        <f>IF($D35="","",SUMIFS(Weights!$AG:$AG,Weights!$C:$C,$F35))</f>
        <v/>
      </c>
      <c r="AI35" s="4" t="str">
        <f>IF($D35="","",SUMIFS(Weights!$AH:$AH,Weights!$C:$C,$F35))</f>
        <v/>
      </c>
      <c r="AJ35" s="4" t="str">
        <f>IF($D35="","",SUMIFS(Weights!$AI:$AI,Weights!$C:$C,$F35))</f>
        <v/>
      </c>
      <c r="AK35" s="4" t="str">
        <f>IF($D35="","",SUMIFS(Weights!$AJ:$AJ,Weights!$C:$C,$F35))</f>
        <v/>
      </c>
      <c r="AL35" s="4" t="str">
        <f>IF($D35="","",SUMIFS(Weights!$AK:$AK,Weights!$C:$C,$F35))</f>
        <v/>
      </c>
      <c r="AM35" s="4" t="str">
        <f>IF($D35="","",SUMIFS(Weights!$AL:$AL,Weights!$C:$C,$F35))</f>
        <v/>
      </c>
    </row>
    <row r="36" spans="1:39" x14ac:dyDescent="0.25">
      <c r="A36" s="4">
        <v>35</v>
      </c>
      <c r="B36" s="4" t="s">
        <v>185</v>
      </c>
      <c r="C36" s="4" t="s">
        <v>186</v>
      </c>
      <c r="D36" s="5" t="s">
        <v>878</v>
      </c>
      <c r="E36" s="4" t="str">
        <f>IF(D36="","",INDEX(Questions!$D$2:$G$81,MATCH(A36,Questions!$A$2:$A$81,0),MATCH(D36,{"A","B","C","D"},0)))</f>
        <v/>
      </c>
      <c r="F36" s="4" t="str">
        <f t="shared" si="1"/>
        <v>35|</v>
      </c>
      <c r="G36" s="4" t="str">
        <f>IF($D36="","",SUMIFS(Weights!$F:$F,Weights!$C:$C,$F36))</f>
        <v/>
      </c>
      <c r="H36" s="4" t="str">
        <f>IF($D36="","",SUMIFS(Weights!$G:$G,Weights!$C:$C,$F36))</f>
        <v/>
      </c>
      <c r="I36" s="4" t="str">
        <f>IF($D36="","",SUMIFS(Weights!$H:$H,Weights!$C:$C,$F36))</f>
        <v/>
      </c>
      <c r="J36" s="4" t="str">
        <f>IF($D36="","",SUMIFS(Weights!$I:$I,Weights!$C:$C,$F36))</f>
        <v/>
      </c>
      <c r="K36" s="4" t="str">
        <f>IF($D36="","",SUMIFS(Weights!$J:$J,Weights!$C:$C,$F36))</f>
        <v/>
      </c>
      <c r="L36" s="4" t="str">
        <f>IF($D36="","",SUMIFS(Weights!$K:$K,Weights!$C:$C,$F36))</f>
        <v/>
      </c>
      <c r="M36" s="4" t="str">
        <f>IF($D36="","",SUMIFS(Weights!$L:$L,Weights!$C:$C,$F36))</f>
        <v/>
      </c>
      <c r="N36" s="4" t="str">
        <f>IF($D36="","",SUMIFS(Weights!$M:$M,Weights!$C:$C,$F36))</f>
        <v/>
      </c>
      <c r="O36" s="4" t="str">
        <f>IF($D36="","",SUMIFS(Weights!$N:$N,Weights!$C:$C,$F36))</f>
        <v/>
      </c>
      <c r="P36" s="4" t="str">
        <f>IF($D36="","",SUMIFS(Weights!$O:$O,Weights!$C:$C,$F36))</f>
        <v/>
      </c>
      <c r="Q36" s="4" t="str">
        <f>IF($D36="","",SUMIFS(Weights!$P:$P,Weights!$C:$C,$F36))</f>
        <v/>
      </c>
      <c r="R36" s="4" t="str">
        <f>IF($D36="","",SUMIFS(Weights!$Q:$Q,Weights!$C:$C,$F36))</f>
        <v/>
      </c>
      <c r="S36" s="4" t="str">
        <f>IF($D36="","",SUMIFS(Weights!$R:$R,Weights!$C:$C,$F36))</f>
        <v/>
      </c>
      <c r="T36" s="4" t="str">
        <f>IF($D36="","",SUMIFS(Weights!$S:$S,Weights!$C:$C,$F36))</f>
        <v/>
      </c>
      <c r="U36" s="4" t="str">
        <f>IF($D36="","",SUMIFS(Weights!$T:$T,Weights!$C:$C,$F36))</f>
        <v/>
      </c>
      <c r="V36" s="4" t="str">
        <f>IF($D36="","",SUMIFS(Weights!$U:$U,Weights!$C:$C,$F36))</f>
        <v/>
      </c>
      <c r="W36" s="4" t="str">
        <f>IF($D36="","",SUMIFS(Weights!$V:$V,Weights!$C:$C,$F36))</f>
        <v/>
      </c>
      <c r="X36" s="4" t="str">
        <f>IF($D36="","",SUMIFS(Weights!$W:$W,Weights!$C:$C,$F36))</f>
        <v/>
      </c>
      <c r="Y36" s="4" t="str">
        <f>IF($D36="","",SUMIFS(Weights!$X:$X,Weights!$C:$C,$F36))</f>
        <v/>
      </c>
      <c r="Z36" s="4" t="str">
        <f>IF($D36="","",SUMIFS(Weights!$Y:$Y,Weights!$C:$C,$F36))</f>
        <v/>
      </c>
      <c r="AA36" s="4" t="str">
        <f>IF($D36="","",SUMIFS(Weights!$Z:$Z,Weights!$C:$C,$F36))</f>
        <v/>
      </c>
      <c r="AB36" s="4" t="str">
        <f>IF($D36="","",SUMIFS(Weights!$AA:$AA,Weights!$C:$C,$F36))</f>
        <v/>
      </c>
      <c r="AC36" s="4" t="str">
        <f>IF($D36="","",SUMIFS(Weights!$AB:$AB,Weights!$C:$C,$F36))</f>
        <v/>
      </c>
      <c r="AD36" s="4" t="str">
        <f>IF($D36="","",SUMIFS(Weights!$AC:$AC,Weights!$C:$C,$F36))</f>
        <v/>
      </c>
      <c r="AE36" s="4" t="str">
        <f>IF($D36="","",SUMIFS(Weights!$AD:$AD,Weights!$C:$C,$F36))</f>
        <v/>
      </c>
      <c r="AF36" s="4" t="str">
        <f>IF($D36="","",SUMIFS(Weights!$AE:$AE,Weights!$C:$C,$F36))</f>
        <v/>
      </c>
      <c r="AG36" s="4" t="str">
        <f>IF($D36="","",SUMIFS(Weights!$AF:$AF,Weights!$C:$C,$F36))</f>
        <v/>
      </c>
      <c r="AH36" s="4" t="str">
        <f>IF($D36="","",SUMIFS(Weights!$AG:$AG,Weights!$C:$C,$F36))</f>
        <v/>
      </c>
      <c r="AI36" s="4" t="str">
        <f>IF($D36="","",SUMIFS(Weights!$AH:$AH,Weights!$C:$C,$F36))</f>
        <v/>
      </c>
      <c r="AJ36" s="4" t="str">
        <f>IF($D36="","",SUMIFS(Weights!$AI:$AI,Weights!$C:$C,$F36))</f>
        <v/>
      </c>
      <c r="AK36" s="4" t="str">
        <f>IF($D36="","",SUMIFS(Weights!$AJ:$AJ,Weights!$C:$C,$F36))</f>
        <v/>
      </c>
      <c r="AL36" s="4" t="str">
        <f>IF($D36="","",SUMIFS(Weights!$AK:$AK,Weights!$C:$C,$F36))</f>
        <v/>
      </c>
      <c r="AM36" s="4" t="str">
        <f>IF($D36="","",SUMIFS(Weights!$AL:$AL,Weights!$C:$C,$F36))</f>
        <v/>
      </c>
    </row>
    <row r="37" spans="1:39" x14ac:dyDescent="0.25">
      <c r="A37" s="4">
        <v>36</v>
      </c>
      <c r="B37" s="4" t="s">
        <v>185</v>
      </c>
      <c r="C37" s="4" t="s">
        <v>191</v>
      </c>
      <c r="D37" s="5" t="s">
        <v>878</v>
      </c>
      <c r="E37" s="4" t="str">
        <f>IF(D37="","",INDEX(Questions!$D$2:$G$81,MATCH(A37,Questions!$A$2:$A$81,0),MATCH(D37,{"A","B","C","D"},0)))</f>
        <v/>
      </c>
      <c r="F37" s="4" t="str">
        <f t="shared" si="1"/>
        <v>36|</v>
      </c>
      <c r="G37" s="4" t="str">
        <f>IF($D37="","",SUMIFS(Weights!$F:$F,Weights!$C:$C,$F37))</f>
        <v/>
      </c>
      <c r="H37" s="4" t="str">
        <f>IF($D37="","",SUMIFS(Weights!$G:$G,Weights!$C:$C,$F37))</f>
        <v/>
      </c>
      <c r="I37" s="4" t="str">
        <f>IF($D37="","",SUMIFS(Weights!$H:$H,Weights!$C:$C,$F37))</f>
        <v/>
      </c>
      <c r="J37" s="4" t="str">
        <f>IF($D37="","",SUMIFS(Weights!$I:$I,Weights!$C:$C,$F37))</f>
        <v/>
      </c>
      <c r="K37" s="4" t="str">
        <f>IF($D37="","",SUMIFS(Weights!$J:$J,Weights!$C:$C,$F37))</f>
        <v/>
      </c>
      <c r="L37" s="4" t="str">
        <f>IF($D37="","",SUMIFS(Weights!$K:$K,Weights!$C:$C,$F37))</f>
        <v/>
      </c>
      <c r="M37" s="4" t="str">
        <f>IF($D37="","",SUMIFS(Weights!$L:$L,Weights!$C:$C,$F37))</f>
        <v/>
      </c>
      <c r="N37" s="4" t="str">
        <f>IF($D37="","",SUMIFS(Weights!$M:$M,Weights!$C:$C,$F37))</f>
        <v/>
      </c>
      <c r="O37" s="4" t="str">
        <f>IF($D37="","",SUMIFS(Weights!$N:$N,Weights!$C:$C,$F37))</f>
        <v/>
      </c>
      <c r="P37" s="4" t="str">
        <f>IF($D37="","",SUMIFS(Weights!$O:$O,Weights!$C:$C,$F37))</f>
        <v/>
      </c>
      <c r="Q37" s="4" t="str">
        <f>IF($D37="","",SUMIFS(Weights!$P:$P,Weights!$C:$C,$F37))</f>
        <v/>
      </c>
      <c r="R37" s="4" t="str">
        <f>IF($D37="","",SUMIFS(Weights!$Q:$Q,Weights!$C:$C,$F37))</f>
        <v/>
      </c>
      <c r="S37" s="4" t="str">
        <f>IF($D37="","",SUMIFS(Weights!$R:$R,Weights!$C:$C,$F37))</f>
        <v/>
      </c>
      <c r="T37" s="4" t="str">
        <f>IF($D37="","",SUMIFS(Weights!$S:$S,Weights!$C:$C,$F37))</f>
        <v/>
      </c>
      <c r="U37" s="4" t="str">
        <f>IF($D37="","",SUMIFS(Weights!$T:$T,Weights!$C:$C,$F37))</f>
        <v/>
      </c>
      <c r="V37" s="4" t="str">
        <f>IF($D37="","",SUMIFS(Weights!$U:$U,Weights!$C:$C,$F37))</f>
        <v/>
      </c>
      <c r="W37" s="4" t="str">
        <f>IF($D37="","",SUMIFS(Weights!$V:$V,Weights!$C:$C,$F37))</f>
        <v/>
      </c>
      <c r="X37" s="4" t="str">
        <f>IF($D37="","",SUMIFS(Weights!$W:$W,Weights!$C:$C,$F37))</f>
        <v/>
      </c>
      <c r="Y37" s="4" t="str">
        <f>IF($D37="","",SUMIFS(Weights!$X:$X,Weights!$C:$C,$F37))</f>
        <v/>
      </c>
      <c r="Z37" s="4" t="str">
        <f>IF($D37="","",SUMIFS(Weights!$Y:$Y,Weights!$C:$C,$F37))</f>
        <v/>
      </c>
      <c r="AA37" s="4" t="str">
        <f>IF($D37="","",SUMIFS(Weights!$Z:$Z,Weights!$C:$C,$F37))</f>
        <v/>
      </c>
      <c r="AB37" s="4" t="str">
        <f>IF($D37="","",SUMIFS(Weights!$AA:$AA,Weights!$C:$C,$F37))</f>
        <v/>
      </c>
      <c r="AC37" s="4" t="str">
        <f>IF($D37="","",SUMIFS(Weights!$AB:$AB,Weights!$C:$C,$F37))</f>
        <v/>
      </c>
      <c r="AD37" s="4" t="str">
        <f>IF($D37="","",SUMIFS(Weights!$AC:$AC,Weights!$C:$C,$F37))</f>
        <v/>
      </c>
      <c r="AE37" s="4" t="str">
        <f>IF($D37="","",SUMIFS(Weights!$AD:$AD,Weights!$C:$C,$F37))</f>
        <v/>
      </c>
      <c r="AF37" s="4" t="str">
        <f>IF($D37="","",SUMIFS(Weights!$AE:$AE,Weights!$C:$C,$F37))</f>
        <v/>
      </c>
      <c r="AG37" s="4" t="str">
        <f>IF($D37="","",SUMIFS(Weights!$AF:$AF,Weights!$C:$C,$F37))</f>
        <v/>
      </c>
      <c r="AH37" s="4" t="str">
        <f>IF($D37="","",SUMIFS(Weights!$AG:$AG,Weights!$C:$C,$F37))</f>
        <v/>
      </c>
      <c r="AI37" s="4" t="str">
        <f>IF($D37="","",SUMIFS(Weights!$AH:$AH,Weights!$C:$C,$F37))</f>
        <v/>
      </c>
      <c r="AJ37" s="4" t="str">
        <f>IF($D37="","",SUMIFS(Weights!$AI:$AI,Weights!$C:$C,$F37))</f>
        <v/>
      </c>
      <c r="AK37" s="4" t="str">
        <f>IF($D37="","",SUMIFS(Weights!$AJ:$AJ,Weights!$C:$C,$F37))</f>
        <v/>
      </c>
      <c r="AL37" s="4" t="str">
        <f>IF($D37="","",SUMIFS(Weights!$AK:$AK,Weights!$C:$C,$F37))</f>
        <v/>
      </c>
      <c r="AM37" s="4" t="str">
        <f>IF($D37="","",SUMIFS(Weights!$AL:$AL,Weights!$C:$C,$F37))</f>
        <v/>
      </c>
    </row>
    <row r="38" spans="1:39" x14ac:dyDescent="0.25">
      <c r="A38" s="4">
        <v>37</v>
      </c>
      <c r="B38" s="4" t="s">
        <v>185</v>
      </c>
      <c r="C38" s="4" t="s">
        <v>196</v>
      </c>
      <c r="D38" s="5" t="s">
        <v>878</v>
      </c>
      <c r="E38" s="4" t="str">
        <f>IF(D38="","",INDEX(Questions!$D$2:$G$81,MATCH(A38,Questions!$A$2:$A$81,0),MATCH(D38,{"A","B","C","D"},0)))</f>
        <v/>
      </c>
      <c r="F38" s="4" t="str">
        <f t="shared" si="1"/>
        <v>37|</v>
      </c>
      <c r="G38" s="4" t="str">
        <f>IF($D38="","",SUMIFS(Weights!$F:$F,Weights!$C:$C,$F38))</f>
        <v/>
      </c>
      <c r="H38" s="4" t="str">
        <f>IF($D38="","",SUMIFS(Weights!$G:$G,Weights!$C:$C,$F38))</f>
        <v/>
      </c>
      <c r="I38" s="4" t="str">
        <f>IF($D38="","",SUMIFS(Weights!$H:$H,Weights!$C:$C,$F38))</f>
        <v/>
      </c>
      <c r="J38" s="4" t="str">
        <f>IF($D38="","",SUMIFS(Weights!$I:$I,Weights!$C:$C,$F38))</f>
        <v/>
      </c>
      <c r="K38" s="4" t="str">
        <f>IF($D38="","",SUMIFS(Weights!$J:$J,Weights!$C:$C,$F38))</f>
        <v/>
      </c>
      <c r="L38" s="4" t="str">
        <f>IF($D38="","",SUMIFS(Weights!$K:$K,Weights!$C:$C,$F38))</f>
        <v/>
      </c>
      <c r="M38" s="4" t="str">
        <f>IF($D38="","",SUMIFS(Weights!$L:$L,Weights!$C:$C,$F38))</f>
        <v/>
      </c>
      <c r="N38" s="4" t="str">
        <f>IF($D38="","",SUMIFS(Weights!$M:$M,Weights!$C:$C,$F38))</f>
        <v/>
      </c>
      <c r="O38" s="4" t="str">
        <f>IF($D38="","",SUMIFS(Weights!$N:$N,Weights!$C:$C,$F38))</f>
        <v/>
      </c>
      <c r="P38" s="4" t="str">
        <f>IF($D38="","",SUMIFS(Weights!$O:$O,Weights!$C:$C,$F38))</f>
        <v/>
      </c>
      <c r="Q38" s="4" t="str">
        <f>IF($D38="","",SUMIFS(Weights!$P:$P,Weights!$C:$C,$F38))</f>
        <v/>
      </c>
      <c r="R38" s="4" t="str">
        <f>IF($D38="","",SUMIFS(Weights!$Q:$Q,Weights!$C:$C,$F38))</f>
        <v/>
      </c>
      <c r="S38" s="4" t="str">
        <f>IF($D38="","",SUMIFS(Weights!$R:$R,Weights!$C:$C,$F38))</f>
        <v/>
      </c>
      <c r="T38" s="4" t="str">
        <f>IF($D38="","",SUMIFS(Weights!$S:$S,Weights!$C:$C,$F38))</f>
        <v/>
      </c>
      <c r="U38" s="4" t="str">
        <f>IF($D38="","",SUMIFS(Weights!$T:$T,Weights!$C:$C,$F38))</f>
        <v/>
      </c>
      <c r="V38" s="4" t="str">
        <f>IF($D38="","",SUMIFS(Weights!$U:$U,Weights!$C:$C,$F38))</f>
        <v/>
      </c>
      <c r="W38" s="4" t="str">
        <f>IF($D38="","",SUMIFS(Weights!$V:$V,Weights!$C:$C,$F38))</f>
        <v/>
      </c>
      <c r="X38" s="4" t="str">
        <f>IF($D38="","",SUMIFS(Weights!$W:$W,Weights!$C:$C,$F38))</f>
        <v/>
      </c>
      <c r="Y38" s="4" t="str">
        <f>IF($D38="","",SUMIFS(Weights!$X:$X,Weights!$C:$C,$F38))</f>
        <v/>
      </c>
      <c r="Z38" s="4" t="str">
        <f>IF($D38="","",SUMIFS(Weights!$Y:$Y,Weights!$C:$C,$F38))</f>
        <v/>
      </c>
      <c r="AA38" s="4" t="str">
        <f>IF($D38="","",SUMIFS(Weights!$Z:$Z,Weights!$C:$C,$F38))</f>
        <v/>
      </c>
      <c r="AB38" s="4" t="str">
        <f>IF($D38="","",SUMIFS(Weights!$AA:$AA,Weights!$C:$C,$F38))</f>
        <v/>
      </c>
      <c r="AC38" s="4" t="str">
        <f>IF($D38="","",SUMIFS(Weights!$AB:$AB,Weights!$C:$C,$F38))</f>
        <v/>
      </c>
      <c r="AD38" s="4" t="str">
        <f>IF($D38="","",SUMIFS(Weights!$AC:$AC,Weights!$C:$C,$F38))</f>
        <v/>
      </c>
      <c r="AE38" s="4" t="str">
        <f>IF($D38="","",SUMIFS(Weights!$AD:$AD,Weights!$C:$C,$F38))</f>
        <v/>
      </c>
      <c r="AF38" s="4" t="str">
        <f>IF($D38="","",SUMIFS(Weights!$AE:$AE,Weights!$C:$C,$F38))</f>
        <v/>
      </c>
      <c r="AG38" s="4" t="str">
        <f>IF($D38="","",SUMIFS(Weights!$AF:$AF,Weights!$C:$C,$F38))</f>
        <v/>
      </c>
      <c r="AH38" s="4" t="str">
        <f>IF($D38="","",SUMIFS(Weights!$AG:$AG,Weights!$C:$C,$F38))</f>
        <v/>
      </c>
      <c r="AI38" s="4" t="str">
        <f>IF($D38="","",SUMIFS(Weights!$AH:$AH,Weights!$C:$C,$F38))</f>
        <v/>
      </c>
      <c r="AJ38" s="4" t="str">
        <f>IF($D38="","",SUMIFS(Weights!$AI:$AI,Weights!$C:$C,$F38))</f>
        <v/>
      </c>
      <c r="AK38" s="4" t="str">
        <f>IF($D38="","",SUMIFS(Weights!$AJ:$AJ,Weights!$C:$C,$F38))</f>
        <v/>
      </c>
      <c r="AL38" s="4" t="str">
        <f>IF($D38="","",SUMIFS(Weights!$AK:$AK,Weights!$C:$C,$F38))</f>
        <v/>
      </c>
      <c r="AM38" s="4" t="str">
        <f>IF($D38="","",SUMIFS(Weights!$AL:$AL,Weights!$C:$C,$F38))</f>
        <v/>
      </c>
    </row>
    <row r="39" spans="1:39" x14ac:dyDescent="0.25">
      <c r="A39" s="4">
        <v>38</v>
      </c>
      <c r="B39" s="4" t="s">
        <v>185</v>
      </c>
      <c r="C39" s="4" t="s">
        <v>201</v>
      </c>
      <c r="D39" s="5" t="s">
        <v>878</v>
      </c>
      <c r="E39" s="4" t="str">
        <f>IF(D39="","",INDEX(Questions!$D$2:$G$81,MATCH(A39,Questions!$A$2:$A$81,0),MATCH(D39,{"A","B","C","D"},0)))</f>
        <v/>
      </c>
      <c r="F39" s="4" t="str">
        <f t="shared" si="1"/>
        <v>38|</v>
      </c>
      <c r="G39" s="4" t="str">
        <f>IF($D39="","",SUMIFS(Weights!$F:$F,Weights!$C:$C,$F39))</f>
        <v/>
      </c>
      <c r="H39" s="4" t="str">
        <f>IF($D39="","",SUMIFS(Weights!$G:$G,Weights!$C:$C,$F39))</f>
        <v/>
      </c>
      <c r="I39" s="4" t="str">
        <f>IF($D39="","",SUMIFS(Weights!$H:$H,Weights!$C:$C,$F39))</f>
        <v/>
      </c>
      <c r="J39" s="4" t="str">
        <f>IF($D39="","",SUMIFS(Weights!$I:$I,Weights!$C:$C,$F39))</f>
        <v/>
      </c>
      <c r="K39" s="4" t="str">
        <f>IF($D39="","",SUMIFS(Weights!$J:$J,Weights!$C:$C,$F39))</f>
        <v/>
      </c>
      <c r="L39" s="4" t="str">
        <f>IF($D39="","",SUMIFS(Weights!$K:$K,Weights!$C:$C,$F39))</f>
        <v/>
      </c>
      <c r="M39" s="4" t="str">
        <f>IF($D39="","",SUMIFS(Weights!$L:$L,Weights!$C:$C,$F39))</f>
        <v/>
      </c>
      <c r="N39" s="4" t="str">
        <f>IF($D39="","",SUMIFS(Weights!$M:$M,Weights!$C:$C,$F39))</f>
        <v/>
      </c>
      <c r="O39" s="4" t="str">
        <f>IF($D39="","",SUMIFS(Weights!$N:$N,Weights!$C:$C,$F39))</f>
        <v/>
      </c>
      <c r="P39" s="4" t="str">
        <f>IF($D39="","",SUMIFS(Weights!$O:$O,Weights!$C:$C,$F39))</f>
        <v/>
      </c>
      <c r="Q39" s="4" t="str">
        <f>IF($D39="","",SUMIFS(Weights!$P:$P,Weights!$C:$C,$F39))</f>
        <v/>
      </c>
      <c r="R39" s="4" t="str">
        <f>IF($D39="","",SUMIFS(Weights!$Q:$Q,Weights!$C:$C,$F39))</f>
        <v/>
      </c>
      <c r="S39" s="4" t="str">
        <f>IF($D39="","",SUMIFS(Weights!$R:$R,Weights!$C:$C,$F39))</f>
        <v/>
      </c>
      <c r="T39" s="4" t="str">
        <f>IF($D39="","",SUMIFS(Weights!$S:$S,Weights!$C:$C,$F39))</f>
        <v/>
      </c>
      <c r="U39" s="4" t="str">
        <f>IF($D39="","",SUMIFS(Weights!$T:$T,Weights!$C:$C,$F39))</f>
        <v/>
      </c>
      <c r="V39" s="4" t="str">
        <f>IF($D39="","",SUMIFS(Weights!$U:$U,Weights!$C:$C,$F39))</f>
        <v/>
      </c>
      <c r="W39" s="4" t="str">
        <f>IF($D39="","",SUMIFS(Weights!$V:$V,Weights!$C:$C,$F39))</f>
        <v/>
      </c>
      <c r="X39" s="4" t="str">
        <f>IF($D39="","",SUMIFS(Weights!$W:$W,Weights!$C:$C,$F39))</f>
        <v/>
      </c>
      <c r="Y39" s="4" t="str">
        <f>IF($D39="","",SUMIFS(Weights!$X:$X,Weights!$C:$C,$F39))</f>
        <v/>
      </c>
      <c r="Z39" s="4" t="str">
        <f>IF($D39="","",SUMIFS(Weights!$Y:$Y,Weights!$C:$C,$F39))</f>
        <v/>
      </c>
      <c r="AA39" s="4" t="str">
        <f>IF($D39="","",SUMIFS(Weights!$Z:$Z,Weights!$C:$C,$F39))</f>
        <v/>
      </c>
      <c r="AB39" s="4" t="str">
        <f>IF($D39="","",SUMIFS(Weights!$AA:$AA,Weights!$C:$C,$F39))</f>
        <v/>
      </c>
      <c r="AC39" s="4" t="str">
        <f>IF($D39="","",SUMIFS(Weights!$AB:$AB,Weights!$C:$C,$F39))</f>
        <v/>
      </c>
      <c r="AD39" s="4" t="str">
        <f>IF($D39="","",SUMIFS(Weights!$AC:$AC,Weights!$C:$C,$F39))</f>
        <v/>
      </c>
      <c r="AE39" s="4" t="str">
        <f>IF($D39="","",SUMIFS(Weights!$AD:$AD,Weights!$C:$C,$F39))</f>
        <v/>
      </c>
      <c r="AF39" s="4" t="str">
        <f>IF($D39="","",SUMIFS(Weights!$AE:$AE,Weights!$C:$C,$F39))</f>
        <v/>
      </c>
      <c r="AG39" s="4" t="str">
        <f>IF($D39="","",SUMIFS(Weights!$AF:$AF,Weights!$C:$C,$F39))</f>
        <v/>
      </c>
      <c r="AH39" s="4" t="str">
        <f>IF($D39="","",SUMIFS(Weights!$AG:$AG,Weights!$C:$C,$F39))</f>
        <v/>
      </c>
      <c r="AI39" s="4" t="str">
        <f>IF($D39="","",SUMIFS(Weights!$AH:$AH,Weights!$C:$C,$F39))</f>
        <v/>
      </c>
      <c r="AJ39" s="4" t="str">
        <f>IF($D39="","",SUMIFS(Weights!$AI:$AI,Weights!$C:$C,$F39))</f>
        <v/>
      </c>
      <c r="AK39" s="4" t="str">
        <f>IF($D39="","",SUMIFS(Weights!$AJ:$AJ,Weights!$C:$C,$F39))</f>
        <v/>
      </c>
      <c r="AL39" s="4" t="str">
        <f>IF($D39="","",SUMIFS(Weights!$AK:$AK,Weights!$C:$C,$F39))</f>
        <v/>
      </c>
      <c r="AM39" s="4" t="str">
        <f>IF($D39="","",SUMIFS(Weights!$AL:$AL,Weights!$C:$C,$F39))</f>
        <v/>
      </c>
    </row>
    <row r="40" spans="1:39" x14ac:dyDescent="0.25">
      <c r="A40" s="4">
        <v>39</v>
      </c>
      <c r="B40" s="4" t="s">
        <v>185</v>
      </c>
      <c r="C40" s="4" t="s">
        <v>206</v>
      </c>
      <c r="D40" s="5" t="s">
        <v>878</v>
      </c>
      <c r="E40" s="4" t="str">
        <f>IF(D40="","",INDEX(Questions!$D$2:$G$81,MATCH(A40,Questions!$A$2:$A$81,0),MATCH(D40,{"A","B","C","D"},0)))</f>
        <v/>
      </c>
      <c r="F40" s="4" t="str">
        <f t="shared" si="1"/>
        <v>39|</v>
      </c>
      <c r="G40" s="4" t="str">
        <f>IF($D40="","",SUMIFS(Weights!$F:$F,Weights!$C:$C,$F40))</f>
        <v/>
      </c>
      <c r="H40" s="4" t="str">
        <f>IF($D40="","",SUMIFS(Weights!$G:$G,Weights!$C:$C,$F40))</f>
        <v/>
      </c>
      <c r="I40" s="4" t="str">
        <f>IF($D40="","",SUMIFS(Weights!$H:$H,Weights!$C:$C,$F40))</f>
        <v/>
      </c>
      <c r="J40" s="4" t="str">
        <f>IF($D40="","",SUMIFS(Weights!$I:$I,Weights!$C:$C,$F40))</f>
        <v/>
      </c>
      <c r="K40" s="4" t="str">
        <f>IF($D40="","",SUMIFS(Weights!$J:$J,Weights!$C:$C,$F40))</f>
        <v/>
      </c>
      <c r="L40" s="4" t="str">
        <f>IF($D40="","",SUMIFS(Weights!$K:$K,Weights!$C:$C,$F40))</f>
        <v/>
      </c>
      <c r="M40" s="4" t="str">
        <f>IF($D40="","",SUMIFS(Weights!$L:$L,Weights!$C:$C,$F40))</f>
        <v/>
      </c>
      <c r="N40" s="4" t="str">
        <f>IF($D40="","",SUMIFS(Weights!$M:$M,Weights!$C:$C,$F40))</f>
        <v/>
      </c>
      <c r="O40" s="4" t="str">
        <f>IF($D40="","",SUMIFS(Weights!$N:$N,Weights!$C:$C,$F40))</f>
        <v/>
      </c>
      <c r="P40" s="4" t="str">
        <f>IF($D40="","",SUMIFS(Weights!$O:$O,Weights!$C:$C,$F40))</f>
        <v/>
      </c>
      <c r="Q40" s="4" t="str">
        <f>IF($D40="","",SUMIFS(Weights!$P:$P,Weights!$C:$C,$F40))</f>
        <v/>
      </c>
      <c r="R40" s="4" t="str">
        <f>IF($D40="","",SUMIFS(Weights!$Q:$Q,Weights!$C:$C,$F40))</f>
        <v/>
      </c>
      <c r="S40" s="4" t="str">
        <f>IF($D40="","",SUMIFS(Weights!$R:$R,Weights!$C:$C,$F40))</f>
        <v/>
      </c>
      <c r="T40" s="4" t="str">
        <f>IF($D40="","",SUMIFS(Weights!$S:$S,Weights!$C:$C,$F40))</f>
        <v/>
      </c>
      <c r="U40" s="4" t="str">
        <f>IF($D40="","",SUMIFS(Weights!$T:$T,Weights!$C:$C,$F40))</f>
        <v/>
      </c>
      <c r="V40" s="4" t="str">
        <f>IF($D40="","",SUMIFS(Weights!$U:$U,Weights!$C:$C,$F40))</f>
        <v/>
      </c>
      <c r="W40" s="4" t="str">
        <f>IF($D40="","",SUMIFS(Weights!$V:$V,Weights!$C:$C,$F40))</f>
        <v/>
      </c>
      <c r="X40" s="4" t="str">
        <f>IF($D40="","",SUMIFS(Weights!$W:$W,Weights!$C:$C,$F40))</f>
        <v/>
      </c>
      <c r="Y40" s="4" t="str">
        <f>IF($D40="","",SUMIFS(Weights!$X:$X,Weights!$C:$C,$F40))</f>
        <v/>
      </c>
      <c r="Z40" s="4" t="str">
        <f>IF($D40="","",SUMIFS(Weights!$Y:$Y,Weights!$C:$C,$F40))</f>
        <v/>
      </c>
      <c r="AA40" s="4" t="str">
        <f>IF($D40="","",SUMIFS(Weights!$Z:$Z,Weights!$C:$C,$F40))</f>
        <v/>
      </c>
      <c r="AB40" s="4" t="str">
        <f>IF($D40="","",SUMIFS(Weights!$AA:$AA,Weights!$C:$C,$F40))</f>
        <v/>
      </c>
      <c r="AC40" s="4" t="str">
        <f>IF($D40="","",SUMIFS(Weights!$AB:$AB,Weights!$C:$C,$F40))</f>
        <v/>
      </c>
      <c r="AD40" s="4" t="str">
        <f>IF($D40="","",SUMIFS(Weights!$AC:$AC,Weights!$C:$C,$F40))</f>
        <v/>
      </c>
      <c r="AE40" s="4" t="str">
        <f>IF($D40="","",SUMIFS(Weights!$AD:$AD,Weights!$C:$C,$F40))</f>
        <v/>
      </c>
      <c r="AF40" s="4" t="str">
        <f>IF($D40="","",SUMIFS(Weights!$AE:$AE,Weights!$C:$C,$F40))</f>
        <v/>
      </c>
      <c r="AG40" s="4" t="str">
        <f>IF($D40="","",SUMIFS(Weights!$AF:$AF,Weights!$C:$C,$F40))</f>
        <v/>
      </c>
      <c r="AH40" s="4" t="str">
        <f>IF($D40="","",SUMIFS(Weights!$AG:$AG,Weights!$C:$C,$F40))</f>
        <v/>
      </c>
      <c r="AI40" s="4" t="str">
        <f>IF($D40="","",SUMIFS(Weights!$AH:$AH,Weights!$C:$C,$F40))</f>
        <v/>
      </c>
      <c r="AJ40" s="4" t="str">
        <f>IF($D40="","",SUMIFS(Weights!$AI:$AI,Weights!$C:$C,$F40))</f>
        <v/>
      </c>
      <c r="AK40" s="4" t="str">
        <f>IF($D40="","",SUMIFS(Weights!$AJ:$AJ,Weights!$C:$C,$F40))</f>
        <v/>
      </c>
      <c r="AL40" s="4" t="str">
        <f>IF($D40="","",SUMIFS(Weights!$AK:$AK,Weights!$C:$C,$F40))</f>
        <v/>
      </c>
      <c r="AM40" s="4" t="str">
        <f>IF($D40="","",SUMIFS(Weights!$AL:$AL,Weights!$C:$C,$F40))</f>
        <v/>
      </c>
    </row>
    <row r="41" spans="1:39" x14ac:dyDescent="0.25">
      <c r="A41" s="4">
        <v>40</v>
      </c>
      <c r="B41" s="4" t="s">
        <v>185</v>
      </c>
      <c r="C41" s="4" t="s">
        <v>210</v>
      </c>
      <c r="D41" s="5" t="s">
        <v>878</v>
      </c>
      <c r="E41" s="4" t="str">
        <f>IF(D41="","",INDEX(Questions!$D$2:$G$81,MATCH(A41,Questions!$A$2:$A$81,0),MATCH(D41,{"A","B","C","D"},0)))</f>
        <v/>
      </c>
      <c r="F41" s="4" t="str">
        <f t="shared" si="1"/>
        <v>40|</v>
      </c>
      <c r="G41" s="4" t="str">
        <f>IF($D41="","",SUMIFS(Weights!$F:$F,Weights!$C:$C,$F41))</f>
        <v/>
      </c>
      <c r="H41" s="4" t="str">
        <f>IF($D41="","",SUMIFS(Weights!$G:$G,Weights!$C:$C,$F41))</f>
        <v/>
      </c>
      <c r="I41" s="4" t="str">
        <f>IF($D41="","",SUMIFS(Weights!$H:$H,Weights!$C:$C,$F41))</f>
        <v/>
      </c>
      <c r="J41" s="4" t="str">
        <f>IF($D41="","",SUMIFS(Weights!$I:$I,Weights!$C:$C,$F41))</f>
        <v/>
      </c>
      <c r="K41" s="4" t="str">
        <f>IF($D41="","",SUMIFS(Weights!$J:$J,Weights!$C:$C,$F41))</f>
        <v/>
      </c>
      <c r="L41" s="4" t="str">
        <f>IF($D41="","",SUMIFS(Weights!$K:$K,Weights!$C:$C,$F41))</f>
        <v/>
      </c>
      <c r="M41" s="4" t="str">
        <f>IF($D41="","",SUMIFS(Weights!$L:$L,Weights!$C:$C,$F41))</f>
        <v/>
      </c>
      <c r="N41" s="4" t="str">
        <f>IF($D41="","",SUMIFS(Weights!$M:$M,Weights!$C:$C,$F41))</f>
        <v/>
      </c>
      <c r="O41" s="4" t="str">
        <f>IF($D41="","",SUMIFS(Weights!$N:$N,Weights!$C:$C,$F41))</f>
        <v/>
      </c>
      <c r="P41" s="4" t="str">
        <f>IF($D41="","",SUMIFS(Weights!$O:$O,Weights!$C:$C,$F41))</f>
        <v/>
      </c>
      <c r="Q41" s="4" t="str">
        <f>IF($D41="","",SUMIFS(Weights!$P:$P,Weights!$C:$C,$F41))</f>
        <v/>
      </c>
      <c r="R41" s="4" t="str">
        <f>IF($D41="","",SUMIFS(Weights!$Q:$Q,Weights!$C:$C,$F41))</f>
        <v/>
      </c>
      <c r="S41" s="4" t="str">
        <f>IF($D41="","",SUMIFS(Weights!$R:$R,Weights!$C:$C,$F41))</f>
        <v/>
      </c>
      <c r="T41" s="4" t="str">
        <f>IF($D41="","",SUMIFS(Weights!$S:$S,Weights!$C:$C,$F41))</f>
        <v/>
      </c>
      <c r="U41" s="4" t="str">
        <f>IF($D41="","",SUMIFS(Weights!$T:$T,Weights!$C:$C,$F41))</f>
        <v/>
      </c>
      <c r="V41" s="4" t="str">
        <f>IF($D41="","",SUMIFS(Weights!$U:$U,Weights!$C:$C,$F41))</f>
        <v/>
      </c>
      <c r="W41" s="4" t="str">
        <f>IF($D41="","",SUMIFS(Weights!$V:$V,Weights!$C:$C,$F41))</f>
        <v/>
      </c>
      <c r="X41" s="4" t="str">
        <f>IF($D41="","",SUMIFS(Weights!$W:$W,Weights!$C:$C,$F41))</f>
        <v/>
      </c>
      <c r="Y41" s="4" t="str">
        <f>IF($D41="","",SUMIFS(Weights!$X:$X,Weights!$C:$C,$F41))</f>
        <v/>
      </c>
      <c r="Z41" s="4" t="str">
        <f>IF($D41="","",SUMIFS(Weights!$Y:$Y,Weights!$C:$C,$F41))</f>
        <v/>
      </c>
      <c r="AA41" s="4" t="str">
        <f>IF($D41="","",SUMIFS(Weights!$Z:$Z,Weights!$C:$C,$F41))</f>
        <v/>
      </c>
      <c r="AB41" s="4" t="str">
        <f>IF($D41="","",SUMIFS(Weights!$AA:$AA,Weights!$C:$C,$F41))</f>
        <v/>
      </c>
      <c r="AC41" s="4" t="str">
        <f>IF($D41="","",SUMIFS(Weights!$AB:$AB,Weights!$C:$C,$F41))</f>
        <v/>
      </c>
      <c r="AD41" s="4" t="str">
        <f>IF($D41="","",SUMIFS(Weights!$AC:$AC,Weights!$C:$C,$F41))</f>
        <v/>
      </c>
      <c r="AE41" s="4" t="str">
        <f>IF($D41="","",SUMIFS(Weights!$AD:$AD,Weights!$C:$C,$F41))</f>
        <v/>
      </c>
      <c r="AF41" s="4" t="str">
        <f>IF($D41="","",SUMIFS(Weights!$AE:$AE,Weights!$C:$C,$F41))</f>
        <v/>
      </c>
      <c r="AG41" s="4" t="str">
        <f>IF($D41="","",SUMIFS(Weights!$AF:$AF,Weights!$C:$C,$F41))</f>
        <v/>
      </c>
      <c r="AH41" s="4" t="str">
        <f>IF($D41="","",SUMIFS(Weights!$AG:$AG,Weights!$C:$C,$F41))</f>
        <v/>
      </c>
      <c r="AI41" s="4" t="str">
        <f>IF($D41="","",SUMIFS(Weights!$AH:$AH,Weights!$C:$C,$F41))</f>
        <v/>
      </c>
      <c r="AJ41" s="4" t="str">
        <f>IF($D41="","",SUMIFS(Weights!$AI:$AI,Weights!$C:$C,$F41))</f>
        <v/>
      </c>
      <c r="AK41" s="4" t="str">
        <f>IF($D41="","",SUMIFS(Weights!$AJ:$AJ,Weights!$C:$C,$F41))</f>
        <v/>
      </c>
      <c r="AL41" s="4" t="str">
        <f>IF($D41="","",SUMIFS(Weights!$AK:$AK,Weights!$C:$C,$F41))</f>
        <v/>
      </c>
      <c r="AM41" s="4" t="str">
        <f>IF($D41="","",SUMIFS(Weights!$AL:$AL,Weights!$C:$C,$F41))</f>
        <v/>
      </c>
    </row>
    <row r="42" spans="1:39" x14ac:dyDescent="0.25">
      <c r="A42" s="4">
        <v>41</v>
      </c>
      <c r="B42" s="4" t="s">
        <v>215</v>
      </c>
      <c r="C42" s="4" t="s">
        <v>216</v>
      </c>
      <c r="D42" s="5" t="s">
        <v>878</v>
      </c>
      <c r="E42" s="4" t="str">
        <f>IF(D42="","",INDEX(Questions!$D$2:$G$81,MATCH(A42,Questions!$A$2:$A$81,0),MATCH(D42,{"A","B","C","D"},0)))</f>
        <v/>
      </c>
      <c r="F42" s="4" t="str">
        <f t="shared" si="1"/>
        <v>41|</v>
      </c>
      <c r="G42" s="4" t="str">
        <f>IF($D42="","",SUMIFS(Weights!$F:$F,Weights!$C:$C,$F42))</f>
        <v/>
      </c>
      <c r="H42" s="4" t="str">
        <f>IF($D42="","",SUMIFS(Weights!$G:$G,Weights!$C:$C,$F42))</f>
        <v/>
      </c>
      <c r="I42" s="4" t="str">
        <f>IF($D42="","",SUMIFS(Weights!$H:$H,Weights!$C:$C,$F42))</f>
        <v/>
      </c>
      <c r="J42" s="4" t="str">
        <f>IF($D42="","",SUMIFS(Weights!$I:$I,Weights!$C:$C,$F42))</f>
        <v/>
      </c>
      <c r="K42" s="4" t="str">
        <f>IF($D42="","",SUMIFS(Weights!$J:$J,Weights!$C:$C,$F42))</f>
        <v/>
      </c>
      <c r="L42" s="4" t="str">
        <f>IF($D42="","",SUMIFS(Weights!$K:$K,Weights!$C:$C,$F42))</f>
        <v/>
      </c>
      <c r="M42" s="4" t="str">
        <f>IF($D42="","",SUMIFS(Weights!$L:$L,Weights!$C:$C,$F42))</f>
        <v/>
      </c>
      <c r="N42" s="4" t="str">
        <f>IF($D42="","",SUMIFS(Weights!$M:$M,Weights!$C:$C,$F42))</f>
        <v/>
      </c>
      <c r="O42" s="4" t="str">
        <f>IF($D42="","",SUMIFS(Weights!$N:$N,Weights!$C:$C,$F42))</f>
        <v/>
      </c>
      <c r="P42" s="4" t="str">
        <f>IF($D42="","",SUMIFS(Weights!$O:$O,Weights!$C:$C,$F42))</f>
        <v/>
      </c>
      <c r="Q42" s="4" t="str">
        <f>IF($D42="","",SUMIFS(Weights!$P:$P,Weights!$C:$C,$F42))</f>
        <v/>
      </c>
      <c r="R42" s="4" t="str">
        <f>IF($D42="","",SUMIFS(Weights!$Q:$Q,Weights!$C:$C,$F42))</f>
        <v/>
      </c>
      <c r="S42" s="4" t="str">
        <f>IF($D42="","",SUMIFS(Weights!$R:$R,Weights!$C:$C,$F42))</f>
        <v/>
      </c>
      <c r="T42" s="4" t="str">
        <f>IF($D42="","",SUMIFS(Weights!$S:$S,Weights!$C:$C,$F42))</f>
        <v/>
      </c>
      <c r="U42" s="4" t="str">
        <f>IF($D42="","",SUMIFS(Weights!$T:$T,Weights!$C:$C,$F42))</f>
        <v/>
      </c>
      <c r="V42" s="4" t="str">
        <f>IF($D42="","",SUMIFS(Weights!$U:$U,Weights!$C:$C,$F42))</f>
        <v/>
      </c>
      <c r="W42" s="4" t="str">
        <f>IF($D42="","",SUMIFS(Weights!$V:$V,Weights!$C:$C,$F42))</f>
        <v/>
      </c>
      <c r="X42" s="4" t="str">
        <f>IF($D42="","",SUMIFS(Weights!$W:$W,Weights!$C:$C,$F42))</f>
        <v/>
      </c>
      <c r="Y42" s="4" t="str">
        <f>IF($D42="","",SUMIFS(Weights!$X:$X,Weights!$C:$C,$F42))</f>
        <v/>
      </c>
      <c r="Z42" s="4" t="str">
        <f>IF($D42="","",SUMIFS(Weights!$Y:$Y,Weights!$C:$C,$F42))</f>
        <v/>
      </c>
      <c r="AA42" s="4" t="str">
        <f>IF($D42="","",SUMIFS(Weights!$Z:$Z,Weights!$C:$C,$F42))</f>
        <v/>
      </c>
      <c r="AB42" s="4" t="str">
        <f>IF($D42="","",SUMIFS(Weights!$AA:$AA,Weights!$C:$C,$F42))</f>
        <v/>
      </c>
      <c r="AC42" s="4" t="str">
        <f>IF($D42="","",SUMIFS(Weights!$AB:$AB,Weights!$C:$C,$F42))</f>
        <v/>
      </c>
      <c r="AD42" s="4" t="str">
        <f>IF($D42="","",SUMIFS(Weights!$AC:$AC,Weights!$C:$C,$F42))</f>
        <v/>
      </c>
      <c r="AE42" s="4" t="str">
        <f>IF($D42="","",SUMIFS(Weights!$AD:$AD,Weights!$C:$C,$F42))</f>
        <v/>
      </c>
      <c r="AF42" s="4" t="str">
        <f>IF($D42="","",SUMIFS(Weights!$AE:$AE,Weights!$C:$C,$F42))</f>
        <v/>
      </c>
      <c r="AG42" s="4" t="str">
        <f>IF($D42="","",SUMIFS(Weights!$AF:$AF,Weights!$C:$C,$F42))</f>
        <v/>
      </c>
      <c r="AH42" s="4" t="str">
        <f>IF($D42="","",SUMIFS(Weights!$AG:$AG,Weights!$C:$C,$F42))</f>
        <v/>
      </c>
      <c r="AI42" s="4" t="str">
        <f>IF($D42="","",SUMIFS(Weights!$AH:$AH,Weights!$C:$C,$F42))</f>
        <v/>
      </c>
      <c r="AJ42" s="4" t="str">
        <f>IF($D42="","",SUMIFS(Weights!$AI:$AI,Weights!$C:$C,$F42))</f>
        <v/>
      </c>
      <c r="AK42" s="4" t="str">
        <f>IF($D42="","",SUMIFS(Weights!$AJ:$AJ,Weights!$C:$C,$F42))</f>
        <v/>
      </c>
      <c r="AL42" s="4" t="str">
        <f>IF($D42="","",SUMIFS(Weights!$AK:$AK,Weights!$C:$C,$F42))</f>
        <v/>
      </c>
      <c r="AM42" s="4" t="str">
        <f>IF($D42="","",SUMIFS(Weights!$AL:$AL,Weights!$C:$C,$F42))</f>
        <v/>
      </c>
    </row>
    <row r="43" spans="1:39" x14ac:dyDescent="0.25">
      <c r="A43" s="4">
        <v>42</v>
      </c>
      <c r="B43" s="4" t="s">
        <v>215</v>
      </c>
      <c r="C43" s="4" t="s">
        <v>221</v>
      </c>
      <c r="D43" s="5" t="s">
        <v>878</v>
      </c>
      <c r="E43" s="4" t="str">
        <f>IF(D43="","",INDEX(Questions!$D$2:$G$81,MATCH(A43,Questions!$A$2:$A$81,0),MATCH(D43,{"A","B","C","D"},0)))</f>
        <v/>
      </c>
      <c r="F43" s="4" t="str">
        <f t="shared" si="1"/>
        <v>42|</v>
      </c>
      <c r="G43" s="4" t="str">
        <f>IF($D43="","",SUMIFS(Weights!$F:$F,Weights!$C:$C,$F43))</f>
        <v/>
      </c>
      <c r="H43" s="4" t="str">
        <f>IF($D43="","",SUMIFS(Weights!$G:$G,Weights!$C:$C,$F43))</f>
        <v/>
      </c>
      <c r="I43" s="4" t="str">
        <f>IF($D43="","",SUMIFS(Weights!$H:$H,Weights!$C:$C,$F43))</f>
        <v/>
      </c>
      <c r="J43" s="4" t="str">
        <f>IF($D43="","",SUMIFS(Weights!$I:$I,Weights!$C:$C,$F43))</f>
        <v/>
      </c>
      <c r="K43" s="4" t="str">
        <f>IF($D43="","",SUMIFS(Weights!$J:$J,Weights!$C:$C,$F43))</f>
        <v/>
      </c>
      <c r="L43" s="4" t="str">
        <f>IF($D43="","",SUMIFS(Weights!$K:$K,Weights!$C:$C,$F43))</f>
        <v/>
      </c>
      <c r="M43" s="4" t="str">
        <f>IF($D43="","",SUMIFS(Weights!$L:$L,Weights!$C:$C,$F43))</f>
        <v/>
      </c>
      <c r="N43" s="4" t="str">
        <f>IF($D43="","",SUMIFS(Weights!$M:$M,Weights!$C:$C,$F43))</f>
        <v/>
      </c>
      <c r="O43" s="4" t="str">
        <f>IF($D43="","",SUMIFS(Weights!$N:$N,Weights!$C:$C,$F43))</f>
        <v/>
      </c>
      <c r="P43" s="4" t="str">
        <f>IF($D43="","",SUMIFS(Weights!$O:$O,Weights!$C:$C,$F43))</f>
        <v/>
      </c>
      <c r="Q43" s="4" t="str">
        <f>IF($D43="","",SUMIFS(Weights!$P:$P,Weights!$C:$C,$F43))</f>
        <v/>
      </c>
      <c r="R43" s="4" t="str">
        <f>IF($D43="","",SUMIFS(Weights!$Q:$Q,Weights!$C:$C,$F43))</f>
        <v/>
      </c>
      <c r="S43" s="4" t="str">
        <f>IF($D43="","",SUMIFS(Weights!$R:$R,Weights!$C:$C,$F43))</f>
        <v/>
      </c>
      <c r="T43" s="4" t="str">
        <f>IF($D43="","",SUMIFS(Weights!$S:$S,Weights!$C:$C,$F43))</f>
        <v/>
      </c>
      <c r="U43" s="4" t="str">
        <f>IF($D43="","",SUMIFS(Weights!$T:$T,Weights!$C:$C,$F43))</f>
        <v/>
      </c>
      <c r="V43" s="4" t="str">
        <f>IF($D43="","",SUMIFS(Weights!$U:$U,Weights!$C:$C,$F43))</f>
        <v/>
      </c>
      <c r="W43" s="4" t="str">
        <f>IF($D43="","",SUMIFS(Weights!$V:$V,Weights!$C:$C,$F43))</f>
        <v/>
      </c>
      <c r="X43" s="4" t="str">
        <f>IF($D43="","",SUMIFS(Weights!$W:$W,Weights!$C:$C,$F43))</f>
        <v/>
      </c>
      <c r="Y43" s="4" t="str">
        <f>IF($D43="","",SUMIFS(Weights!$X:$X,Weights!$C:$C,$F43))</f>
        <v/>
      </c>
      <c r="Z43" s="4" t="str">
        <f>IF($D43="","",SUMIFS(Weights!$Y:$Y,Weights!$C:$C,$F43))</f>
        <v/>
      </c>
      <c r="AA43" s="4" t="str">
        <f>IF($D43="","",SUMIFS(Weights!$Z:$Z,Weights!$C:$C,$F43))</f>
        <v/>
      </c>
      <c r="AB43" s="4" t="str">
        <f>IF($D43="","",SUMIFS(Weights!$AA:$AA,Weights!$C:$C,$F43))</f>
        <v/>
      </c>
      <c r="AC43" s="4" t="str">
        <f>IF($D43="","",SUMIFS(Weights!$AB:$AB,Weights!$C:$C,$F43))</f>
        <v/>
      </c>
      <c r="AD43" s="4" t="str">
        <f>IF($D43="","",SUMIFS(Weights!$AC:$AC,Weights!$C:$C,$F43))</f>
        <v/>
      </c>
      <c r="AE43" s="4" t="str">
        <f>IF($D43="","",SUMIFS(Weights!$AD:$AD,Weights!$C:$C,$F43))</f>
        <v/>
      </c>
      <c r="AF43" s="4" t="str">
        <f>IF($D43="","",SUMIFS(Weights!$AE:$AE,Weights!$C:$C,$F43))</f>
        <v/>
      </c>
      <c r="AG43" s="4" t="str">
        <f>IF($D43="","",SUMIFS(Weights!$AF:$AF,Weights!$C:$C,$F43))</f>
        <v/>
      </c>
      <c r="AH43" s="4" t="str">
        <f>IF($D43="","",SUMIFS(Weights!$AG:$AG,Weights!$C:$C,$F43))</f>
        <v/>
      </c>
      <c r="AI43" s="4" t="str">
        <f>IF($D43="","",SUMIFS(Weights!$AH:$AH,Weights!$C:$C,$F43))</f>
        <v/>
      </c>
      <c r="AJ43" s="4" t="str">
        <f>IF($D43="","",SUMIFS(Weights!$AI:$AI,Weights!$C:$C,$F43))</f>
        <v/>
      </c>
      <c r="AK43" s="4" t="str">
        <f>IF($D43="","",SUMIFS(Weights!$AJ:$AJ,Weights!$C:$C,$F43))</f>
        <v/>
      </c>
      <c r="AL43" s="4" t="str">
        <f>IF($D43="","",SUMIFS(Weights!$AK:$AK,Weights!$C:$C,$F43))</f>
        <v/>
      </c>
      <c r="AM43" s="4" t="str">
        <f>IF($D43="","",SUMIFS(Weights!$AL:$AL,Weights!$C:$C,$F43))</f>
        <v/>
      </c>
    </row>
    <row r="44" spans="1:39" x14ac:dyDescent="0.25">
      <c r="A44" s="4">
        <v>43</v>
      </c>
      <c r="B44" s="4" t="s">
        <v>215</v>
      </c>
      <c r="C44" s="4" t="s">
        <v>225</v>
      </c>
      <c r="D44" s="5" t="s">
        <v>878</v>
      </c>
      <c r="E44" s="4" t="str">
        <f>IF(D44="","",INDEX(Questions!$D$2:$G$81,MATCH(A44,Questions!$A$2:$A$81,0),MATCH(D44,{"A","B","C","D"},0)))</f>
        <v/>
      </c>
      <c r="F44" s="4" t="str">
        <f t="shared" si="1"/>
        <v>43|</v>
      </c>
      <c r="G44" s="4" t="str">
        <f>IF($D44="","",SUMIFS(Weights!$F:$F,Weights!$C:$C,$F44))</f>
        <v/>
      </c>
      <c r="H44" s="4" t="str">
        <f>IF($D44="","",SUMIFS(Weights!$G:$G,Weights!$C:$C,$F44))</f>
        <v/>
      </c>
      <c r="I44" s="4" t="str">
        <f>IF($D44="","",SUMIFS(Weights!$H:$H,Weights!$C:$C,$F44))</f>
        <v/>
      </c>
      <c r="J44" s="4" t="str">
        <f>IF($D44="","",SUMIFS(Weights!$I:$I,Weights!$C:$C,$F44))</f>
        <v/>
      </c>
      <c r="K44" s="4" t="str">
        <f>IF($D44="","",SUMIFS(Weights!$J:$J,Weights!$C:$C,$F44))</f>
        <v/>
      </c>
      <c r="L44" s="4" t="str">
        <f>IF($D44="","",SUMIFS(Weights!$K:$K,Weights!$C:$C,$F44))</f>
        <v/>
      </c>
      <c r="M44" s="4" t="str">
        <f>IF($D44="","",SUMIFS(Weights!$L:$L,Weights!$C:$C,$F44))</f>
        <v/>
      </c>
      <c r="N44" s="4" t="str">
        <f>IF($D44="","",SUMIFS(Weights!$M:$M,Weights!$C:$C,$F44))</f>
        <v/>
      </c>
      <c r="O44" s="4" t="str">
        <f>IF($D44="","",SUMIFS(Weights!$N:$N,Weights!$C:$C,$F44))</f>
        <v/>
      </c>
      <c r="P44" s="4" t="str">
        <f>IF($D44="","",SUMIFS(Weights!$O:$O,Weights!$C:$C,$F44))</f>
        <v/>
      </c>
      <c r="Q44" s="4" t="str">
        <f>IF($D44="","",SUMIFS(Weights!$P:$P,Weights!$C:$C,$F44))</f>
        <v/>
      </c>
      <c r="R44" s="4" t="str">
        <f>IF($D44="","",SUMIFS(Weights!$Q:$Q,Weights!$C:$C,$F44))</f>
        <v/>
      </c>
      <c r="S44" s="4" t="str">
        <f>IF($D44="","",SUMIFS(Weights!$R:$R,Weights!$C:$C,$F44))</f>
        <v/>
      </c>
      <c r="T44" s="4" t="str">
        <f>IF($D44="","",SUMIFS(Weights!$S:$S,Weights!$C:$C,$F44))</f>
        <v/>
      </c>
      <c r="U44" s="4" t="str">
        <f>IF($D44="","",SUMIFS(Weights!$T:$T,Weights!$C:$C,$F44))</f>
        <v/>
      </c>
      <c r="V44" s="4" t="str">
        <f>IF($D44="","",SUMIFS(Weights!$U:$U,Weights!$C:$C,$F44))</f>
        <v/>
      </c>
      <c r="W44" s="4" t="str">
        <f>IF($D44="","",SUMIFS(Weights!$V:$V,Weights!$C:$C,$F44))</f>
        <v/>
      </c>
      <c r="X44" s="4" t="str">
        <f>IF($D44="","",SUMIFS(Weights!$W:$W,Weights!$C:$C,$F44))</f>
        <v/>
      </c>
      <c r="Y44" s="4" t="str">
        <f>IF($D44="","",SUMIFS(Weights!$X:$X,Weights!$C:$C,$F44))</f>
        <v/>
      </c>
      <c r="Z44" s="4" t="str">
        <f>IF($D44="","",SUMIFS(Weights!$Y:$Y,Weights!$C:$C,$F44))</f>
        <v/>
      </c>
      <c r="AA44" s="4" t="str">
        <f>IF($D44="","",SUMIFS(Weights!$Z:$Z,Weights!$C:$C,$F44))</f>
        <v/>
      </c>
      <c r="AB44" s="4" t="str">
        <f>IF($D44="","",SUMIFS(Weights!$AA:$AA,Weights!$C:$C,$F44))</f>
        <v/>
      </c>
      <c r="AC44" s="4" t="str">
        <f>IF($D44="","",SUMIFS(Weights!$AB:$AB,Weights!$C:$C,$F44))</f>
        <v/>
      </c>
      <c r="AD44" s="4" t="str">
        <f>IF($D44="","",SUMIFS(Weights!$AC:$AC,Weights!$C:$C,$F44))</f>
        <v/>
      </c>
      <c r="AE44" s="4" t="str">
        <f>IF($D44="","",SUMIFS(Weights!$AD:$AD,Weights!$C:$C,$F44))</f>
        <v/>
      </c>
      <c r="AF44" s="4" t="str">
        <f>IF($D44="","",SUMIFS(Weights!$AE:$AE,Weights!$C:$C,$F44))</f>
        <v/>
      </c>
      <c r="AG44" s="4" t="str">
        <f>IF($D44="","",SUMIFS(Weights!$AF:$AF,Weights!$C:$C,$F44))</f>
        <v/>
      </c>
      <c r="AH44" s="4" t="str">
        <f>IF($D44="","",SUMIFS(Weights!$AG:$AG,Weights!$C:$C,$F44))</f>
        <v/>
      </c>
      <c r="AI44" s="4" t="str">
        <f>IF($D44="","",SUMIFS(Weights!$AH:$AH,Weights!$C:$C,$F44))</f>
        <v/>
      </c>
      <c r="AJ44" s="4" t="str">
        <f>IF($D44="","",SUMIFS(Weights!$AI:$AI,Weights!$C:$C,$F44))</f>
        <v/>
      </c>
      <c r="AK44" s="4" t="str">
        <f>IF($D44="","",SUMIFS(Weights!$AJ:$AJ,Weights!$C:$C,$F44))</f>
        <v/>
      </c>
      <c r="AL44" s="4" t="str">
        <f>IF($D44="","",SUMIFS(Weights!$AK:$AK,Weights!$C:$C,$F44))</f>
        <v/>
      </c>
      <c r="AM44" s="4" t="str">
        <f>IF($D44="","",SUMIFS(Weights!$AL:$AL,Weights!$C:$C,$F44))</f>
        <v/>
      </c>
    </row>
    <row r="45" spans="1:39" x14ac:dyDescent="0.25">
      <c r="A45" s="4">
        <v>44</v>
      </c>
      <c r="B45" s="4" t="s">
        <v>215</v>
      </c>
      <c r="C45" s="4" t="s">
        <v>228</v>
      </c>
      <c r="D45" s="5" t="s">
        <v>878</v>
      </c>
      <c r="E45" s="4" t="str">
        <f>IF(D45="","",INDEX(Questions!$D$2:$G$81,MATCH(A45,Questions!$A$2:$A$81,0),MATCH(D45,{"A","B","C","D"},0)))</f>
        <v/>
      </c>
      <c r="F45" s="4" t="str">
        <f t="shared" si="1"/>
        <v>44|</v>
      </c>
      <c r="G45" s="4" t="str">
        <f>IF($D45="","",SUMIFS(Weights!$F:$F,Weights!$C:$C,$F45))</f>
        <v/>
      </c>
      <c r="H45" s="4" t="str">
        <f>IF($D45="","",SUMIFS(Weights!$G:$G,Weights!$C:$C,$F45))</f>
        <v/>
      </c>
      <c r="I45" s="4" t="str">
        <f>IF($D45="","",SUMIFS(Weights!$H:$H,Weights!$C:$C,$F45))</f>
        <v/>
      </c>
      <c r="J45" s="4" t="str">
        <f>IF($D45="","",SUMIFS(Weights!$I:$I,Weights!$C:$C,$F45))</f>
        <v/>
      </c>
      <c r="K45" s="4" t="str">
        <f>IF($D45="","",SUMIFS(Weights!$J:$J,Weights!$C:$C,$F45))</f>
        <v/>
      </c>
      <c r="L45" s="4" t="str">
        <f>IF($D45="","",SUMIFS(Weights!$K:$K,Weights!$C:$C,$F45))</f>
        <v/>
      </c>
      <c r="M45" s="4" t="str">
        <f>IF($D45="","",SUMIFS(Weights!$L:$L,Weights!$C:$C,$F45))</f>
        <v/>
      </c>
      <c r="N45" s="4" t="str">
        <f>IF($D45="","",SUMIFS(Weights!$M:$M,Weights!$C:$C,$F45))</f>
        <v/>
      </c>
      <c r="O45" s="4" t="str">
        <f>IF($D45="","",SUMIFS(Weights!$N:$N,Weights!$C:$C,$F45))</f>
        <v/>
      </c>
      <c r="P45" s="4" t="str">
        <f>IF($D45="","",SUMIFS(Weights!$O:$O,Weights!$C:$C,$F45))</f>
        <v/>
      </c>
      <c r="Q45" s="4" t="str">
        <f>IF($D45="","",SUMIFS(Weights!$P:$P,Weights!$C:$C,$F45))</f>
        <v/>
      </c>
      <c r="R45" s="4" t="str">
        <f>IF($D45="","",SUMIFS(Weights!$Q:$Q,Weights!$C:$C,$F45))</f>
        <v/>
      </c>
      <c r="S45" s="4" t="str">
        <f>IF($D45="","",SUMIFS(Weights!$R:$R,Weights!$C:$C,$F45))</f>
        <v/>
      </c>
      <c r="T45" s="4" t="str">
        <f>IF($D45="","",SUMIFS(Weights!$S:$S,Weights!$C:$C,$F45))</f>
        <v/>
      </c>
      <c r="U45" s="4" t="str">
        <f>IF($D45="","",SUMIFS(Weights!$T:$T,Weights!$C:$C,$F45))</f>
        <v/>
      </c>
      <c r="V45" s="4" t="str">
        <f>IF($D45="","",SUMIFS(Weights!$U:$U,Weights!$C:$C,$F45))</f>
        <v/>
      </c>
      <c r="W45" s="4" t="str">
        <f>IF($D45="","",SUMIFS(Weights!$V:$V,Weights!$C:$C,$F45))</f>
        <v/>
      </c>
      <c r="X45" s="4" t="str">
        <f>IF($D45="","",SUMIFS(Weights!$W:$W,Weights!$C:$C,$F45))</f>
        <v/>
      </c>
      <c r="Y45" s="4" t="str">
        <f>IF($D45="","",SUMIFS(Weights!$X:$X,Weights!$C:$C,$F45))</f>
        <v/>
      </c>
      <c r="Z45" s="4" t="str">
        <f>IF($D45="","",SUMIFS(Weights!$Y:$Y,Weights!$C:$C,$F45))</f>
        <v/>
      </c>
      <c r="AA45" s="4" t="str">
        <f>IF($D45="","",SUMIFS(Weights!$Z:$Z,Weights!$C:$C,$F45))</f>
        <v/>
      </c>
      <c r="AB45" s="4" t="str">
        <f>IF($D45="","",SUMIFS(Weights!$AA:$AA,Weights!$C:$C,$F45))</f>
        <v/>
      </c>
      <c r="AC45" s="4" t="str">
        <f>IF($D45="","",SUMIFS(Weights!$AB:$AB,Weights!$C:$C,$F45))</f>
        <v/>
      </c>
      <c r="AD45" s="4" t="str">
        <f>IF($D45="","",SUMIFS(Weights!$AC:$AC,Weights!$C:$C,$F45))</f>
        <v/>
      </c>
      <c r="AE45" s="4" t="str">
        <f>IF($D45="","",SUMIFS(Weights!$AD:$AD,Weights!$C:$C,$F45))</f>
        <v/>
      </c>
      <c r="AF45" s="4" t="str">
        <f>IF($D45="","",SUMIFS(Weights!$AE:$AE,Weights!$C:$C,$F45))</f>
        <v/>
      </c>
      <c r="AG45" s="4" t="str">
        <f>IF($D45="","",SUMIFS(Weights!$AF:$AF,Weights!$C:$C,$F45))</f>
        <v/>
      </c>
      <c r="AH45" s="4" t="str">
        <f>IF($D45="","",SUMIFS(Weights!$AG:$AG,Weights!$C:$C,$F45))</f>
        <v/>
      </c>
      <c r="AI45" s="4" t="str">
        <f>IF($D45="","",SUMIFS(Weights!$AH:$AH,Weights!$C:$C,$F45))</f>
        <v/>
      </c>
      <c r="AJ45" s="4" t="str">
        <f>IF($D45="","",SUMIFS(Weights!$AI:$AI,Weights!$C:$C,$F45))</f>
        <v/>
      </c>
      <c r="AK45" s="4" t="str">
        <f>IF($D45="","",SUMIFS(Weights!$AJ:$AJ,Weights!$C:$C,$F45))</f>
        <v/>
      </c>
      <c r="AL45" s="4" t="str">
        <f>IF($D45="","",SUMIFS(Weights!$AK:$AK,Weights!$C:$C,$F45))</f>
        <v/>
      </c>
      <c r="AM45" s="4" t="str">
        <f>IF($D45="","",SUMIFS(Weights!$AL:$AL,Weights!$C:$C,$F45))</f>
        <v/>
      </c>
    </row>
    <row r="46" spans="1:39" x14ac:dyDescent="0.25">
      <c r="A46" s="4">
        <v>45</v>
      </c>
      <c r="B46" s="4" t="s">
        <v>215</v>
      </c>
      <c r="C46" s="4" t="s">
        <v>232</v>
      </c>
      <c r="D46" s="5" t="s">
        <v>878</v>
      </c>
      <c r="E46" s="4" t="str">
        <f>IF(D46="","",INDEX(Questions!$D$2:$G$81,MATCH(A46,Questions!$A$2:$A$81,0),MATCH(D46,{"A","B","C","D"},0)))</f>
        <v/>
      </c>
      <c r="F46" s="4" t="str">
        <f t="shared" si="1"/>
        <v>45|</v>
      </c>
      <c r="G46" s="4" t="str">
        <f>IF($D46="","",SUMIFS(Weights!$F:$F,Weights!$C:$C,$F46))</f>
        <v/>
      </c>
      <c r="H46" s="4" t="str">
        <f>IF($D46="","",SUMIFS(Weights!$G:$G,Weights!$C:$C,$F46))</f>
        <v/>
      </c>
      <c r="I46" s="4" t="str">
        <f>IF($D46="","",SUMIFS(Weights!$H:$H,Weights!$C:$C,$F46))</f>
        <v/>
      </c>
      <c r="J46" s="4" t="str">
        <f>IF($D46="","",SUMIFS(Weights!$I:$I,Weights!$C:$C,$F46))</f>
        <v/>
      </c>
      <c r="K46" s="4" t="str">
        <f>IF($D46="","",SUMIFS(Weights!$J:$J,Weights!$C:$C,$F46))</f>
        <v/>
      </c>
      <c r="L46" s="4" t="str">
        <f>IF($D46="","",SUMIFS(Weights!$K:$K,Weights!$C:$C,$F46))</f>
        <v/>
      </c>
      <c r="M46" s="4" t="str">
        <f>IF($D46="","",SUMIFS(Weights!$L:$L,Weights!$C:$C,$F46))</f>
        <v/>
      </c>
      <c r="N46" s="4" t="str">
        <f>IF($D46="","",SUMIFS(Weights!$M:$M,Weights!$C:$C,$F46))</f>
        <v/>
      </c>
      <c r="O46" s="4" t="str">
        <f>IF($D46="","",SUMIFS(Weights!$N:$N,Weights!$C:$C,$F46))</f>
        <v/>
      </c>
      <c r="P46" s="4" t="str">
        <f>IF($D46="","",SUMIFS(Weights!$O:$O,Weights!$C:$C,$F46))</f>
        <v/>
      </c>
      <c r="Q46" s="4" t="str">
        <f>IF($D46="","",SUMIFS(Weights!$P:$P,Weights!$C:$C,$F46))</f>
        <v/>
      </c>
      <c r="R46" s="4" t="str">
        <f>IF($D46="","",SUMIFS(Weights!$Q:$Q,Weights!$C:$C,$F46))</f>
        <v/>
      </c>
      <c r="S46" s="4" t="str">
        <f>IF($D46="","",SUMIFS(Weights!$R:$R,Weights!$C:$C,$F46))</f>
        <v/>
      </c>
      <c r="T46" s="4" t="str">
        <f>IF($D46="","",SUMIFS(Weights!$S:$S,Weights!$C:$C,$F46))</f>
        <v/>
      </c>
      <c r="U46" s="4" t="str">
        <f>IF($D46="","",SUMIFS(Weights!$T:$T,Weights!$C:$C,$F46))</f>
        <v/>
      </c>
      <c r="V46" s="4" t="str">
        <f>IF($D46="","",SUMIFS(Weights!$U:$U,Weights!$C:$C,$F46))</f>
        <v/>
      </c>
      <c r="W46" s="4" t="str">
        <f>IF($D46="","",SUMIFS(Weights!$V:$V,Weights!$C:$C,$F46))</f>
        <v/>
      </c>
      <c r="X46" s="4" t="str">
        <f>IF($D46="","",SUMIFS(Weights!$W:$W,Weights!$C:$C,$F46))</f>
        <v/>
      </c>
      <c r="Y46" s="4" t="str">
        <f>IF($D46="","",SUMIFS(Weights!$X:$X,Weights!$C:$C,$F46))</f>
        <v/>
      </c>
      <c r="Z46" s="4" t="str">
        <f>IF($D46="","",SUMIFS(Weights!$Y:$Y,Weights!$C:$C,$F46))</f>
        <v/>
      </c>
      <c r="AA46" s="4" t="str">
        <f>IF($D46="","",SUMIFS(Weights!$Z:$Z,Weights!$C:$C,$F46))</f>
        <v/>
      </c>
      <c r="AB46" s="4" t="str">
        <f>IF($D46="","",SUMIFS(Weights!$AA:$AA,Weights!$C:$C,$F46))</f>
        <v/>
      </c>
      <c r="AC46" s="4" t="str">
        <f>IF($D46="","",SUMIFS(Weights!$AB:$AB,Weights!$C:$C,$F46))</f>
        <v/>
      </c>
      <c r="AD46" s="4" t="str">
        <f>IF($D46="","",SUMIFS(Weights!$AC:$AC,Weights!$C:$C,$F46))</f>
        <v/>
      </c>
      <c r="AE46" s="4" t="str">
        <f>IF($D46="","",SUMIFS(Weights!$AD:$AD,Weights!$C:$C,$F46))</f>
        <v/>
      </c>
      <c r="AF46" s="4" t="str">
        <f>IF($D46="","",SUMIFS(Weights!$AE:$AE,Weights!$C:$C,$F46))</f>
        <v/>
      </c>
      <c r="AG46" s="4" t="str">
        <f>IF($D46="","",SUMIFS(Weights!$AF:$AF,Weights!$C:$C,$F46))</f>
        <v/>
      </c>
      <c r="AH46" s="4" t="str">
        <f>IF($D46="","",SUMIFS(Weights!$AG:$AG,Weights!$C:$C,$F46))</f>
        <v/>
      </c>
      <c r="AI46" s="4" t="str">
        <f>IF($D46="","",SUMIFS(Weights!$AH:$AH,Weights!$C:$C,$F46))</f>
        <v/>
      </c>
      <c r="AJ46" s="4" t="str">
        <f>IF($D46="","",SUMIFS(Weights!$AI:$AI,Weights!$C:$C,$F46))</f>
        <v/>
      </c>
      <c r="AK46" s="4" t="str">
        <f>IF($D46="","",SUMIFS(Weights!$AJ:$AJ,Weights!$C:$C,$F46))</f>
        <v/>
      </c>
      <c r="AL46" s="4" t="str">
        <f>IF($D46="","",SUMIFS(Weights!$AK:$AK,Weights!$C:$C,$F46))</f>
        <v/>
      </c>
      <c r="AM46" s="4" t="str">
        <f>IF($D46="","",SUMIFS(Weights!$AL:$AL,Weights!$C:$C,$F46))</f>
        <v/>
      </c>
    </row>
    <row r="47" spans="1:39" x14ac:dyDescent="0.25">
      <c r="A47" s="4">
        <v>46</v>
      </c>
      <c r="B47" s="4" t="s">
        <v>237</v>
      </c>
      <c r="C47" s="4" t="s">
        <v>238</v>
      </c>
      <c r="D47" s="5" t="s">
        <v>878</v>
      </c>
      <c r="E47" s="4" t="str">
        <f>IF(D47="","",INDEX(Questions!$D$2:$G$81,MATCH(A47,Questions!$A$2:$A$81,0),MATCH(D47,{"A","B","C","D"},0)))</f>
        <v/>
      </c>
      <c r="F47" s="4" t="str">
        <f t="shared" si="1"/>
        <v>46|</v>
      </c>
      <c r="G47" s="4" t="str">
        <f>IF($D47="","",SUMIFS(Weights!$F:$F,Weights!$C:$C,$F47))</f>
        <v/>
      </c>
      <c r="H47" s="4" t="str">
        <f>IF($D47="","",SUMIFS(Weights!$G:$G,Weights!$C:$C,$F47))</f>
        <v/>
      </c>
      <c r="I47" s="4" t="str">
        <f>IF($D47="","",SUMIFS(Weights!$H:$H,Weights!$C:$C,$F47))</f>
        <v/>
      </c>
      <c r="J47" s="4" t="str">
        <f>IF($D47="","",SUMIFS(Weights!$I:$I,Weights!$C:$C,$F47))</f>
        <v/>
      </c>
      <c r="K47" s="4" t="str">
        <f>IF($D47="","",SUMIFS(Weights!$J:$J,Weights!$C:$C,$F47))</f>
        <v/>
      </c>
      <c r="L47" s="4" t="str">
        <f>IF($D47="","",SUMIFS(Weights!$K:$K,Weights!$C:$C,$F47))</f>
        <v/>
      </c>
      <c r="M47" s="4" t="str">
        <f>IF($D47="","",SUMIFS(Weights!$L:$L,Weights!$C:$C,$F47))</f>
        <v/>
      </c>
      <c r="N47" s="4" t="str">
        <f>IF($D47="","",SUMIFS(Weights!$M:$M,Weights!$C:$C,$F47))</f>
        <v/>
      </c>
      <c r="O47" s="4" t="str">
        <f>IF($D47="","",SUMIFS(Weights!$N:$N,Weights!$C:$C,$F47))</f>
        <v/>
      </c>
      <c r="P47" s="4" t="str">
        <f>IF($D47="","",SUMIFS(Weights!$O:$O,Weights!$C:$C,$F47))</f>
        <v/>
      </c>
      <c r="Q47" s="4" t="str">
        <f>IF($D47="","",SUMIFS(Weights!$P:$P,Weights!$C:$C,$F47))</f>
        <v/>
      </c>
      <c r="R47" s="4" t="str">
        <f>IF($D47="","",SUMIFS(Weights!$Q:$Q,Weights!$C:$C,$F47))</f>
        <v/>
      </c>
      <c r="S47" s="4" t="str">
        <f>IF($D47="","",SUMIFS(Weights!$R:$R,Weights!$C:$C,$F47))</f>
        <v/>
      </c>
      <c r="T47" s="4" t="str">
        <f>IF($D47="","",SUMIFS(Weights!$S:$S,Weights!$C:$C,$F47))</f>
        <v/>
      </c>
      <c r="U47" s="4" t="str">
        <f>IF($D47="","",SUMIFS(Weights!$T:$T,Weights!$C:$C,$F47))</f>
        <v/>
      </c>
      <c r="V47" s="4" t="str">
        <f>IF($D47="","",SUMIFS(Weights!$U:$U,Weights!$C:$C,$F47))</f>
        <v/>
      </c>
      <c r="W47" s="4" t="str">
        <f>IF($D47="","",SUMIFS(Weights!$V:$V,Weights!$C:$C,$F47))</f>
        <v/>
      </c>
      <c r="X47" s="4" t="str">
        <f>IF($D47="","",SUMIFS(Weights!$W:$W,Weights!$C:$C,$F47))</f>
        <v/>
      </c>
      <c r="Y47" s="4" t="str">
        <f>IF($D47="","",SUMIFS(Weights!$X:$X,Weights!$C:$C,$F47))</f>
        <v/>
      </c>
      <c r="Z47" s="4" t="str">
        <f>IF($D47="","",SUMIFS(Weights!$Y:$Y,Weights!$C:$C,$F47))</f>
        <v/>
      </c>
      <c r="AA47" s="4" t="str">
        <f>IF($D47="","",SUMIFS(Weights!$Z:$Z,Weights!$C:$C,$F47))</f>
        <v/>
      </c>
      <c r="AB47" s="4" t="str">
        <f>IF($D47="","",SUMIFS(Weights!$AA:$AA,Weights!$C:$C,$F47))</f>
        <v/>
      </c>
      <c r="AC47" s="4" t="str">
        <f>IF($D47="","",SUMIFS(Weights!$AB:$AB,Weights!$C:$C,$F47))</f>
        <v/>
      </c>
      <c r="AD47" s="4" t="str">
        <f>IF($D47="","",SUMIFS(Weights!$AC:$AC,Weights!$C:$C,$F47))</f>
        <v/>
      </c>
      <c r="AE47" s="4" t="str">
        <f>IF($D47="","",SUMIFS(Weights!$AD:$AD,Weights!$C:$C,$F47))</f>
        <v/>
      </c>
      <c r="AF47" s="4" t="str">
        <f>IF($D47="","",SUMIFS(Weights!$AE:$AE,Weights!$C:$C,$F47))</f>
        <v/>
      </c>
      <c r="AG47" s="4" t="str">
        <f>IF($D47="","",SUMIFS(Weights!$AF:$AF,Weights!$C:$C,$F47))</f>
        <v/>
      </c>
      <c r="AH47" s="4" t="str">
        <f>IF($D47="","",SUMIFS(Weights!$AG:$AG,Weights!$C:$C,$F47))</f>
        <v/>
      </c>
      <c r="AI47" s="4" t="str">
        <f>IF($D47="","",SUMIFS(Weights!$AH:$AH,Weights!$C:$C,$F47))</f>
        <v/>
      </c>
      <c r="AJ47" s="4" t="str">
        <f>IF($D47="","",SUMIFS(Weights!$AI:$AI,Weights!$C:$C,$F47))</f>
        <v/>
      </c>
      <c r="AK47" s="4" t="str">
        <f>IF($D47="","",SUMIFS(Weights!$AJ:$AJ,Weights!$C:$C,$F47))</f>
        <v/>
      </c>
      <c r="AL47" s="4" t="str">
        <f>IF($D47="","",SUMIFS(Weights!$AK:$AK,Weights!$C:$C,$F47))</f>
        <v/>
      </c>
      <c r="AM47" s="4" t="str">
        <f>IF($D47="","",SUMIFS(Weights!$AL:$AL,Weights!$C:$C,$F47))</f>
        <v/>
      </c>
    </row>
    <row r="48" spans="1:39" x14ac:dyDescent="0.25">
      <c r="A48" s="4">
        <v>47</v>
      </c>
      <c r="B48" s="4" t="s">
        <v>237</v>
      </c>
      <c r="C48" s="4" t="s">
        <v>243</v>
      </c>
      <c r="D48" s="5" t="s">
        <v>878</v>
      </c>
      <c r="E48" s="4" t="str">
        <f>IF(D48="","",INDEX(Questions!$D$2:$G$81,MATCH(A48,Questions!$A$2:$A$81,0),MATCH(D48,{"A","B","C","D"},0)))</f>
        <v/>
      </c>
      <c r="F48" s="4" t="str">
        <f t="shared" si="1"/>
        <v>47|</v>
      </c>
      <c r="G48" s="4" t="str">
        <f>IF($D48="","",SUMIFS(Weights!$F:$F,Weights!$C:$C,$F48))</f>
        <v/>
      </c>
      <c r="H48" s="4" t="str">
        <f>IF($D48="","",SUMIFS(Weights!$G:$G,Weights!$C:$C,$F48))</f>
        <v/>
      </c>
      <c r="I48" s="4" t="str">
        <f>IF($D48="","",SUMIFS(Weights!$H:$H,Weights!$C:$C,$F48))</f>
        <v/>
      </c>
      <c r="J48" s="4" t="str">
        <f>IF($D48="","",SUMIFS(Weights!$I:$I,Weights!$C:$C,$F48))</f>
        <v/>
      </c>
      <c r="K48" s="4" t="str">
        <f>IF($D48="","",SUMIFS(Weights!$J:$J,Weights!$C:$C,$F48))</f>
        <v/>
      </c>
      <c r="L48" s="4" t="str">
        <f>IF($D48="","",SUMIFS(Weights!$K:$K,Weights!$C:$C,$F48))</f>
        <v/>
      </c>
      <c r="M48" s="4" t="str">
        <f>IF($D48="","",SUMIFS(Weights!$L:$L,Weights!$C:$C,$F48))</f>
        <v/>
      </c>
      <c r="N48" s="4" t="str">
        <f>IF($D48="","",SUMIFS(Weights!$M:$M,Weights!$C:$C,$F48))</f>
        <v/>
      </c>
      <c r="O48" s="4" t="str">
        <f>IF($D48="","",SUMIFS(Weights!$N:$N,Weights!$C:$C,$F48))</f>
        <v/>
      </c>
      <c r="P48" s="4" t="str">
        <f>IF($D48="","",SUMIFS(Weights!$O:$O,Weights!$C:$C,$F48))</f>
        <v/>
      </c>
      <c r="Q48" s="4" t="str">
        <f>IF($D48="","",SUMIFS(Weights!$P:$P,Weights!$C:$C,$F48))</f>
        <v/>
      </c>
      <c r="R48" s="4" t="str">
        <f>IF($D48="","",SUMIFS(Weights!$Q:$Q,Weights!$C:$C,$F48))</f>
        <v/>
      </c>
      <c r="S48" s="4" t="str">
        <f>IF($D48="","",SUMIFS(Weights!$R:$R,Weights!$C:$C,$F48))</f>
        <v/>
      </c>
      <c r="T48" s="4" t="str">
        <f>IF($D48="","",SUMIFS(Weights!$S:$S,Weights!$C:$C,$F48))</f>
        <v/>
      </c>
      <c r="U48" s="4" t="str">
        <f>IF($D48="","",SUMIFS(Weights!$T:$T,Weights!$C:$C,$F48))</f>
        <v/>
      </c>
      <c r="V48" s="4" t="str">
        <f>IF($D48="","",SUMIFS(Weights!$U:$U,Weights!$C:$C,$F48))</f>
        <v/>
      </c>
      <c r="W48" s="4" t="str">
        <f>IF($D48="","",SUMIFS(Weights!$V:$V,Weights!$C:$C,$F48))</f>
        <v/>
      </c>
      <c r="X48" s="4" t="str">
        <f>IF($D48="","",SUMIFS(Weights!$W:$W,Weights!$C:$C,$F48))</f>
        <v/>
      </c>
      <c r="Y48" s="4" t="str">
        <f>IF($D48="","",SUMIFS(Weights!$X:$X,Weights!$C:$C,$F48))</f>
        <v/>
      </c>
      <c r="Z48" s="4" t="str">
        <f>IF($D48="","",SUMIFS(Weights!$Y:$Y,Weights!$C:$C,$F48))</f>
        <v/>
      </c>
      <c r="AA48" s="4" t="str">
        <f>IF($D48="","",SUMIFS(Weights!$Z:$Z,Weights!$C:$C,$F48))</f>
        <v/>
      </c>
      <c r="AB48" s="4" t="str">
        <f>IF($D48="","",SUMIFS(Weights!$AA:$AA,Weights!$C:$C,$F48))</f>
        <v/>
      </c>
      <c r="AC48" s="4" t="str">
        <f>IF($D48="","",SUMIFS(Weights!$AB:$AB,Weights!$C:$C,$F48))</f>
        <v/>
      </c>
      <c r="AD48" s="4" t="str">
        <f>IF($D48="","",SUMIFS(Weights!$AC:$AC,Weights!$C:$C,$F48))</f>
        <v/>
      </c>
      <c r="AE48" s="4" t="str">
        <f>IF($D48="","",SUMIFS(Weights!$AD:$AD,Weights!$C:$C,$F48))</f>
        <v/>
      </c>
      <c r="AF48" s="4" t="str">
        <f>IF($D48="","",SUMIFS(Weights!$AE:$AE,Weights!$C:$C,$F48))</f>
        <v/>
      </c>
      <c r="AG48" s="4" t="str">
        <f>IF($D48="","",SUMIFS(Weights!$AF:$AF,Weights!$C:$C,$F48))</f>
        <v/>
      </c>
      <c r="AH48" s="4" t="str">
        <f>IF($D48="","",SUMIFS(Weights!$AG:$AG,Weights!$C:$C,$F48))</f>
        <v/>
      </c>
      <c r="AI48" s="4" t="str">
        <f>IF($D48="","",SUMIFS(Weights!$AH:$AH,Weights!$C:$C,$F48))</f>
        <v/>
      </c>
      <c r="AJ48" s="4" t="str">
        <f>IF($D48="","",SUMIFS(Weights!$AI:$AI,Weights!$C:$C,$F48))</f>
        <v/>
      </c>
      <c r="AK48" s="4" t="str">
        <f>IF($D48="","",SUMIFS(Weights!$AJ:$AJ,Weights!$C:$C,$F48))</f>
        <v/>
      </c>
      <c r="AL48" s="4" t="str">
        <f>IF($D48="","",SUMIFS(Weights!$AK:$AK,Weights!$C:$C,$F48))</f>
        <v/>
      </c>
      <c r="AM48" s="4" t="str">
        <f>IF($D48="","",SUMIFS(Weights!$AL:$AL,Weights!$C:$C,$F48))</f>
        <v/>
      </c>
    </row>
    <row r="49" spans="1:39" x14ac:dyDescent="0.25">
      <c r="A49" s="4">
        <v>48</v>
      </c>
      <c r="B49" s="4" t="s">
        <v>237</v>
      </c>
      <c r="C49" s="4" t="s">
        <v>248</v>
      </c>
      <c r="D49" s="5" t="s">
        <v>878</v>
      </c>
      <c r="E49" s="4" t="str">
        <f>IF(D49="","",INDEX(Questions!$D$2:$G$81,MATCH(A49,Questions!$A$2:$A$81,0),MATCH(D49,{"A","B","C","D"},0)))</f>
        <v/>
      </c>
      <c r="F49" s="4" t="str">
        <f t="shared" si="1"/>
        <v>48|</v>
      </c>
      <c r="G49" s="4" t="str">
        <f>IF($D49="","",SUMIFS(Weights!$F:$F,Weights!$C:$C,$F49))</f>
        <v/>
      </c>
      <c r="H49" s="4" t="str">
        <f>IF($D49="","",SUMIFS(Weights!$G:$G,Weights!$C:$C,$F49))</f>
        <v/>
      </c>
      <c r="I49" s="4" t="str">
        <f>IF($D49="","",SUMIFS(Weights!$H:$H,Weights!$C:$C,$F49))</f>
        <v/>
      </c>
      <c r="J49" s="4" t="str">
        <f>IF($D49="","",SUMIFS(Weights!$I:$I,Weights!$C:$C,$F49))</f>
        <v/>
      </c>
      <c r="K49" s="4" t="str">
        <f>IF($D49="","",SUMIFS(Weights!$J:$J,Weights!$C:$C,$F49))</f>
        <v/>
      </c>
      <c r="L49" s="4" t="str">
        <f>IF($D49="","",SUMIFS(Weights!$K:$K,Weights!$C:$C,$F49))</f>
        <v/>
      </c>
      <c r="M49" s="4" t="str">
        <f>IF($D49="","",SUMIFS(Weights!$L:$L,Weights!$C:$C,$F49))</f>
        <v/>
      </c>
      <c r="N49" s="4" t="str">
        <f>IF($D49="","",SUMIFS(Weights!$M:$M,Weights!$C:$C,$F49))</f>
        <v/>
      </c>
      <c r="O49" s="4" t="str">
        <f>IF($D49="","",SUMIFS(Weights!$N:$N,Weights!$C:$C,$F49))</f>
        <v/>
      </c>
      <c r="P49" s="4" t="str">
        <f>IF($D49="","",SUMIFS(Weights!$O:$O,Weights!$C:$C,$F49))</f>
        <v/>
      </c>
      <c r="Q49" s="4" t="str">
        <f>IF($D49="","",SUMIFS(Weights!$P:$P,Weights!$C:$C,$F49))</f>
        <v/>
      </c>
      <c r="R49" s="4" t="str">
        <f>IF($D49="","",SUMIFS(Weights!$Q:$Q,Weights!$C:$C,$F49))</f>
        <v/>
      </c>
      <c r="S49" s="4" t="str">
        <f>IF($D49="","",SUMIFS(Weights!$R:$R,Weights!$C:$C,$F49))</f>
        <v/>
      </c>
      <c r="T49" s="4" t="str">
        <f>IF($D49="","",SUMIFS(Weights!$S:$S,Weights!$C:$C,$F49))</f>
        <v/>
      </c>
      <c r="U49" s="4" t="str">
        <f>IF($D49="","",SUMIFS(Weights!$T:$T,Weights!$C:$C,$F49))</f>
        <v/>
      </c>
      <c r="V49" s="4" t="str">
        <f>IF($D49="","",SUMIFS(Weights!$U:$U,Weights!$C:$C,$F49))</f>
        <v/>
      </c>
      <c r="W49" s="4" t="str">
        <f>IF($D49="","",SUMIFS(Weights!$V:$V,Weights!$C:$C,$F49))</f>
        <v/>
      </c>
      <c r="X49" s="4" t="str">
        <f>IF($D49="","",SUMIFS(Weights!$W:$W,Weights!$C:$C,$F49))</f>
        <v/>
      </c>
      <c r="Y49" s="4" t="str">
        <f>IF($D49="","",SUMIFS(Weights!$X:$X,Weights!$C:$C,$F49))</f>
        <v/>
      </c>
      <c r="Z49" s="4" t="str">
        <f>IF($D49="","",SUMIFS(Weights!$Y:$Y,Weights!$C:$C,$F49))</f>
        <v/>
      </c>
      <c r="AA49" s="4" t="str">
        <f>IF($D49="","",SUMIFS(Weights!$Z:$Z,Weights!$C:$C,$F49))</f>
        <v/>
      </c>
      <c r="AB49" s="4" t="str">
        <f>IF($D49="","",SUMIFS(Weights!$AA:$AA,Weights!$C:$C,$F49))</f>
        <v/>
      </c>
      <c r="AC49" s="4" t="str">
        <f>IF($D49="","",SUMIFS(Weights!$AB:$AB,Weights!$C:$C,$F49))</f>
        <v/>
      </c>
      <c r="AD49" s="4" t="str">
        <f>IF($D49="","",SUMIFS(Weights!$AC:$AC,Weights!$C:$C,$F49))</f>
        <v/>
      </c>
      <c r="AE49" s="4" t="str">
        <f>IF($D49="","",SUMIFS(Weights!$AD:$AD,Weights!$C:$C,$F49))</f>
        <v/>
      </c>
      <c r="AF49" s="4" t="str">
        <f>IF($D49="","",SUMIFS(Weights!$AE:$AE,Weights!$C:$C,$F49))</f>
        <v/>
      </c>
      <c r="AG49" s="4" t="str">
        <f>IF($D49="","",SUMIFS(Weights!$AF:$AF,Weights!$C:$C,$F49))</f>
        <v/>
      </c>
      <c r="AH49" s="4" t="str">
        <f>IF($D49="","",SUMIFS(Weights!$AG:$AG,Weights!$C:$C,$F49))</f>
        <v/>
      </c>
      <c r="AI49" s="4" t="str">
        <f>IF($D49="","",SUMIFS(Weights!$AH:$AH,Weights!$C:$C,$F49))</f>
        <v/>
      </c>
      <c r="AJ49" s="4" t="str">
        <f>IF($D49="","",SUMIFS(Weights!$AI:$AI,Weights!$C:$C,$F49))</f>
        <v/>
      </c>
      <c r="AK49" s="4" t="str">
        <f>IF($D49="","",SUMIFS(Weights!$AJ:$AJ,Weights!$C:$C,$F49))</f>
        <v/>
      </c>
      <c r="AL49" s="4" t="str">
        <f>IF($D49="","",SUMIFS(Weights!$AK:$AK,Weights!$C:$C,$F49))</f>
        <v/>
      </c>
      <c r="AM49" s="4" t="str">
        <f>IF($D49="","",SUMIFS(Weights!$AL:$AL,Weights!$C:$C,$F49))</f>
        <v/>
      </c>
    </row>
    <row r="50" spans="1:39" x14ac:dyDescent="0.25">
      <c r="A50" s="4">
        <v>49</v>
      </c>
      <c r="B50" s="4" t="s">
        <v>237</v>
      </c>
      <c r="C50" s="4" t="s">
        <v>253</v>
      </c>
      <c r="D50" s="5" t="s">
        <v>878</v>
      </c>
      <c r="E50" s="4" t="str">
        <f>IF(D50="","",INDEX(Questions!$D$2:$G$81,MATCH(A50,Questions!$A$2:$A$81,0),MATCH(D50,{"A","B","C","D"},0)))</f>
        <v/>
      </c>
      <c r="F50" s="4" t="str">
        <f t="shared" si="1"/>
        <v>49|</v>
      </c>
      <c r="G50" s="4" t="str">
        <f>IF($D50="","",SUMIFS(Weights!$F:$F,Weights!$C:$C,$F50))</f>
        <v/>
      </c>
      <c r="H50" s="4" t="str">
        <f>IF($D50="","",SUMIFS(Weights!$G:$G,Weights!$C:$C,$F50))</f>
        <v/>
      </c>
      <c r="I50" s="4" t="str">
        <f>IF($D50="","",SUMIFS(Weights!$H:$H,Weights!$C:$C,$F50))</f>
        <v/>
      </c>
      <c r="J50" s="4" t="str">
        <f>IF($D50="","",SUMIFS(Weights!$I:$I,Weights!$C:$C,$F50))</f>
        <v/>
      </c>
      <c r="K50" s="4" t="str">
        <f>IF($D50="","",SUMIFS(Weights!$J:$J,Weights!$C:$C,$F50))</f>
        <v/>
      </c>
      <c r="L50" s="4" t="str">
        <f>IF($D50="","",SUMIFS(Weights!$K:$K,Weights!$C:$C,$F50))</f>
        <v/>
      </c>
      <c r="M50" s="4" t="str">
        <f>IF($D50="","",SUMIFS(Weights!$L:$L,Weights!$C:$C,$F50))</f>
        <v/>
      </c>
      <c r="N50" s="4" t="str">
        <f>IF($D50="","",SUMIFS(Weights!$M:$M,Weights!$C:$C,$F50))</f>
        <v/>
      </c>
      <c r="O50" s="4" t="str">
        <f>IF($D50="","",SUMIFS(Weights!$N:$N,Weights!$C:$C,$F50))</f>
        <v/>
      </c>
      <c r="P50" s="4" t="str">
        <f>IF($D50="","",SUMIFS(Weights!$O:$O,Weights!$C:$C,$F50))</f>
        <v/>
      </c>
      <c r="Q50" s="4" t="str">
        <f>IF($D50="","",SUMIFS(Weights!$P:$P,Weights!$C:$C,$F50))</f>
        <v/>
      </c>
      <c r="R50" s="4" t="str">
        <f>IF($D50="","",SUMIFS(Weights!$Q:$Q,Weights!$C:$C,$F50))</f>
        <v/>
      </c>
      <c r="S50" s="4" t="str">
        <f>IF($D50="","",SUMIFS(Weights!$R:$R,Weights!$C:$C,$F50))</f>
        <v/>
      </c>
      <c r="T50" s="4" t="str">
        <f>IF($D50="","",SUMIFS(Weights!$S:$S,Weights!$C:$C,$F50))</f>
        <v/>
      </c>
      <c r="U50" s="4" t="str">
        <f>IF($D50="","",SUMIFS(Weights!$T:$T,Weights!$C:$C,$F50))</f>
        <v/>
      </c>
      <c r="V50" s="4" t="str">
        <f>IF($D50="","",SUMIFS(Weights!$U:$U,Weights!$C:$C,$F50))</f>
        <v/>
      </c>
      <c r="W50" s="4" t="str">
        <f>IF($D50="","",SUMIFS(Weights!$V:$V,Weights!$C:$C,$F50))</f>
        <v/>
      </c>
      <c r="X50" s="4" t="str">
        <f>IF($D50="","",SUMIFS(Weights!$W:$W,Weights!$C:$C,$F50))</f>
        <v/>
      </c>
      <c r="Y50" s="4" t="str">
        <f>IF($D50="","",SUMIFS(Weights!$X:$X,Weights!$C:$C,$F50))</f>
        <v/>
      </c>
      <c r="Z50" s="4" t="str">
        <f>IF($D50="","",SUMIFS(Weights!$Y:$Y,Weights!$C:$C,$F50))</f>
        <v/>
      </c>
      <c r="AA50" s="4" t="str">
        <f>IF($D50="","",SUMIFS(Weights!$Z:$Z,Weights!$C:$C,$F50))</f>
        <v/>
      </c>
      <c r="AB50" s="4" t="str">
        <f>IF($D50="","",SUMIFS(Weights!$AA:$AA,Weights!$C:$C,$F50))</f>
        <v/>
      </c>
      <c r="AC50" s="4" t="str">
        <f>IF($D50="","",SUMIFS(Weights!$AB:$AB,Weights!$C:$C,$F50))</f>
        <v/>
      </c>
      <c r="AD50" s="4" t="str">
        <f>IF($D50="","",SUMIFS(Weights!$AC:$AC,Weights!$C:$C,$F50))</f>
        <v/>
      </c>
      <c r="AE50" s="4" t="str">
        <f>IF($D50="","",SUMIFS(Weights!$AD:$AD,Weights!$C:$C,$F50))</f>
        <v/>
      </c>
      <c r="AF50" s="4" t="str">
        <f>IF($D50="","",SUMIFS(Weights!$AE:$AE,Weights!$C:$C,$F50))</f>
        <v/>
      </c>
      <c r="AG50" s="4" t="str">
        <f>IF($D50="","",SUMIFS(Weights!$AF:$AF,Weights!$C:$C,$F50))</f>
        <v/>
      </c>
      <c r="AH50" s="4" t="str">
        <f>IF($D50="","",SUMIFS(Weights!$AG:$AG,Weights!$C:$C,$F50))</f>
        <v/>
      </c>
      <c r="AI50" s="4" t="str">
        <f>IF($D50="","",SUMIFS(Weights!$AH:$AH,Weights!$C:$C,$F50))</f>
        <v/>
      </c>
      <c r="AJ50" s="4" t="str">
        <f>IF($D50="","",SUMIFS(Weights!$AI:$AI,Weights!$C:$C,$F50))</f>
        <v/>
      </c>
      <c r="AK50" s="4" t="str">
        <f>IF($D50="","",SUMIFS(Weights!$AJ:$AJ,Weights!$C:$C,$F50))</f>
        <v/>
      </c>
      <c r="AL50" s="4" t="str">
        <f>IF($D50="","",SUMIFS(Weights!$AK:$AK,Weights!$C:$C,$F50))</f>
        <v/>
      </c>
      <c r="AM50" s="4" t="str">
        <f>IF($D50="","",SUMIFS(Weights!$AL:$AL,Weights!$C:$C,$F50))</f>
        <v/>
      </c>
    </row>
    <row r="51" spans="1:39" x14ac:dyDescent="0.25">
      <c r="A51" s="4">
        <v>50</v>
      </c>
      <c r="B51" s="4" t="s">
        <v>237</v>
      </c>
      <c r="C51" s="4" t="s">
        <v>258</v>
      </c>
      <c r="D51" s="5" t="s">
        <v>878</v>
      </c>
      <c r="E51" s="4" t="str">
        <f>IF(D51="","",INDEX(Questions!$D$2:$G$81,MATCH(A51,Questions!$A$2:$A$81,0),MATCH(D51,{"A","B","C","D"},0)))</f>
        <v/>
      </c>
      <c r="F51" s="4" t="str">
        <f t="shared" si="1"/>
        <v>50|</v>
      </c>
      <c r="G51" s="4" t="str">
        <f>IF($D51="","",SUMIFS(Weights!$F:$F,Weights!$C:$C,$F51))</f>
        <v/>
      </c>
      <c r="H51" s="4" t="str">
        <f>IF($D51="","",SUMIFS(Weights!$G:$G,Weights!$C:$C,$F51))</f>
        <v/>
      </c>
      <c r="I51" s="4" t="str">
        <f>IF($D51="","",SUMIFS(Weights!$H:$H,Weights!$C:$C,$F51))</f>
        <v/>
      </c>
      <c r="J51" s="4" t="str">
        <f>IF($D51="","",SUMIFS(Weights!$I:$I,Weights!$C:$C,$F51))</f>
        <v/>
      </c>
      <c r="K51" s="4" t="str">
        <f>IF($D51="","",SUMIFS(Weights!$J:$J,Weights!$C:$C,$F51))</f>
        <v/>
      </c>
      <c r="L51" s="4" t="str">
        <f>IF($D51="","",SUMIFS(Weights!$K:$K,Weights!$C:$C,$F51))</f>
        <v/>
      </c>
      <c r="M51" s="4" t="str">
        <f>IF($D51="","",SUMIFS(Weights!$L:$L,Weights!$C:$C,$F51))</f>
        <v/>
      </c>
      <c r="N51" s="4" t="str">
        <f>IF($D51="","",SUMIFS(Weights!$M:$M,Weights!$C:$C,$F51))</f>
        <v/>
      </c>
      <c r="O51" s="4" t="str">
        <f>IF($D51="","",SUMIFS(Weights!$N:$N,Weights!$C:$C,$F51))</f>
        <v/>
      </c>
      <c r="P51" s="4" t="str">
        <f>IF($D51="","",SUMIFS(Weights!$O:$O,Weights!$C:$C,$F51))</f>
        <v/>
      </c>
      <c r="Q51" s="4" t="str">
        <f>IF($D51="","",SUMIFS(Weights!$P:$P,Weights!$C:$C,$F51))</f>
        <v/>
      </c>
      <c r="R51" s="4" t="str">
        <f>IF($D51="","",SUMIFS(Weights!$Q:$Q,Weights!$C:$C,$F51))</f>
        <v/>
      </c>
      <c r="S51" s="4" t="str">
        <f>IF($D51="","",SUMIFS(Weights!$R:$R,Weights!$C:$C,$F51))</f>
        <v/>
      </c>
      <c r="T51" s="4" t="str">
        <f>IF($D51="","",SUMIFS(Weights!$S:$S,Weights!$C:$C,$F51))</f>
        <v/>
      </c>
      <c r="U51" s="4" t="str">
        <f>IF($D51="","",SUMIFS(Weights!$T:$T,Weights!$C:$C,$F51))</f>
        <v/>
      </c>
      <c r="V51" s="4" t="str">
        <f>IF($D51="","",SUMIFS(Weights!$U:$U,Weights!$C:$C,$F51))</f>
        <v/>
      </c>
      <c r="W51" s="4" t="str">
        <f>IF($D51="","",SUMIFS(Weights!$V:$V,Weights!$C:$C,$F51))</f>
        <v/>
      </c>
      <c r="X51" s="4" t="str">
        <f>IF($D51="","",SUMIFS(Weights!$W:$W,Weights!$C:$C,$F51))</f>
        <v/>
      </c>
      <c r="Y51" s="4" t="str">
        <f>IF($D51="","",SUMIFS(Weights!$X:$X,Weights!$C:$C,$F51))</f>
        <v/>
      </c>
      <c r="Z51" s="4" t="str">
        <f>IF($D51="","",SUMIFS(Weights!$Y:$Y,Weights!$C:$C,$F51))</f>
        <v/>
      </c>
      <c r="AA51" s="4" t="str">
        <f>IF($D51="","",SUMIFS(Weights!$Z:$Z,Weights!$C:$C,$F51))</f>
        <v/>
      </c>
      <c r="AB51" s="4" t="str">
        <f>IF($D51="","",SUMIFS(Weights!$AA:$AA,Weights!$C:$C,$F51))</f>
        <v/>
      </c>
      <c r="AC51" s="4" t="str">
        <f>IF($D51="","",SUMIFS(Weights!$AB:$AB,Weights!$C:$C,$F51))</f>
        <v/>
      </c>
      <c r="AD51" s="4" t="str">
        <f>IF($D51="","",SUMIFS(Weights!$AC:$AC,Weights!$C:$C,$F51))</f>
        <v/>
      </c>
      <c r="AE51" s="4" t="str">
        <f>IF($D51="","",SUMIFS(Weights!$AD:$AD,Weights!$C:$C,$F51))</f>
        <v/>
      </c>
      <c r="AF51" s="4" t="str">
        <f>IF($D51="","",SUMIFS(Weights!$AE:$AE,Weights!$C:$C,$F51))</f>
        <v/>
      </c>
      <c r="AG51" s="4" t="str">
        <f>IF($D51="","",SUMIFS(Weights!$AF:$AF,Weights!$C:$C,$F51))</f>
        <v/>
      </c>
      <c r="AH51" s="4" t="str">
        <f>IF($D51="","",SUMIFS(Weights!$AG:$AG,Weights!$C:$C,$F51))</f>
        <v/>
      </c>
      <c r="AI51" s="4" t="str">
        <f>IF($D51="","",SUMIFS(Weights!$AH:$AH,Weights!$C:$C,$F51))</f>
        <v/>
      </c>
      <c r="AJ51" s="4" t="str">
        <f>IF($D51="","",SUMIFS(Weights!$AI:$AI,Weights!$C:$C,$F51))</f>
        <v/>
      </c>
      <c r="AK51" s="4" t="str">
        <f>IF($D51="","",SUMIFS(Weights!$AJ:$AJ,Weights!$C:$C,$F51))</f>
        <v/>
      </c>
      <c r="AL51" s="4" t="str">
        <f>IF($D51="","",SUMIFS(Weights!$AK:$AK,Weights!$C:$C,$F51))</f>
        <v/>
      </c>
      <c r="AM51" s="4" t="str">
        <f>IF($D51="","",SUMIFS(Weights!$AL:$AL,Weights!$C:$C,$F51))</f>
        <v/>
      </c>
    </row>
    <row r="52" spans="1:39" x14ac:dyDescent="0.25">
      <c r="A52" s="4">
        <v>51</v>
      </c>
      <c r="B52" s="4" t="s">
        <v>263</v>
      </c>
      <c r="C52" s="4" t="s">
        <v>264</v>
      </c>
      <c r="D52" s="5" t="s">
        <v>878</v>
      </c>
      <c r="E52" s="4" t="str">
        <f>IF(D52="","",INDEX(Questions!$D$2:$G$81,MATCH(A52,Questions!$A$2:$A$81,0),MATCH(D52,{"A","B","C","D"},0)))</f>
        <v/>
      </c>
      <c r="F52" s="4" t="str">
        <f t="shared" si="1"/>
        <v>51|</v>
      </c>
      <c r="G52" s="4" t="str">
        <f>IF($D52="","",SUMIFS(Weights!$F:$F,Weights!$C:$C,$F52))</f>
        <v/>
      </c>
      <c r="H52" s="4" t="str">
        <f>IF($D52="","",SUMIFS(Weights!$G:$G,Weights!$C:$C,$F52))</f>
        <v/>
      </c>
      <c r="I52" s="4" t="str">
        <f>IF($D52="","",SUMIFS(Weights!$H:$H,Weights!$C:$C,$F52))</f>
        <v/>
      </c>
      <c r="J52" s="4" t="str">
        <f>IF($D52="","",SUMIFS(Weights!$I:$I,Weights!$C:$C,$F52))</f>
        <v/>
      </c>
      <c r="K52" s="4" t="str">
        <f>IF($D52="","",SUMIFS(Weights!$J:$J,Weights!$C:$C,$F52))</f>
        <v/>
      </c>
      <c r="L52" s="4" t="str">
        <f>IF($D52="","",SUMIFS(Weights!$K:$K,Weights!$C:$C,$F52))</f>
        <v/>
      </c>
      <c r="M52" s="4" t="str">
        <f>IF($D52="","",SUMIFS(Weights!$L:$L,Weights!$C:$C,$F52))</f>
        <v/>
      </c>
      <c r="N52" s="4" t="str">
        <f>IF($D52="","",SUMIFS(Weights!$M:$M,Weights!$C:$C,$F52))</f>
        <v/>
      </c>
      <c r="O52" s="4" t="str">
        <f>IF($D52="","",SUMIFS(Weights!$N:$N,Weights!$C:$C,$F52))</f>
        <v/>
      </c>
      <c r="P52" s="4" t="str">
        <f>IF($D52="","",SUMIFS(Weights!$O:$O,Weights!$C:$C,$F52))</f>
        <v/>
      </c>
      <c r="Q52" s="4" t="str">
        <f>IF($D52="","",SUMIFS(Weights!$P:$P,Weights!$C:$C,$F52))</f>
        <v/>
      </c>
      <c r="R52" s="4" t="str">
        <f>IF($D52="","",SUMIFS(Weights!$Q:$Q,Weights!$C:$C,$F52))</f>
        <v/>
      </c>
      <c r="S52" s="4" t="str">
        <f>IF($D52="","",SUMIFS(Weights!$R:$R,Weights!$C:$C,$F52))</f>
        <v/>
      </c>
      <c r="T52" s="4" t="str">
        <f>IF($D52="","",SUMIFS(Weights!$S:$S,Weights!$C:$C,$F52))</f>
        <v/>
      </c>
      <c r="U52" s="4" t="str">
        <f>IF($D52="","",SUMIFS(Weights!$T:$T,Weights!$C:$C,$F52))</f>
        <v/>
      </c>
      <c r="V52" s="4" t="str">
        <f>IF($D52="","",SUMIFS(Weights!$U:$U,Weights!$C:$C,$F52))</f>
        <v/>
      </c>
      <c r="W52" s="4" t="str">
        <f>IF($D52="","",SUMIFS(Weights!$V:$V,Weights!$C:$C,$F52))</f>
        <v/>
      </c>
      <c r="X52" s="4" t="str">
        <f>IF($D52="","",SUMIFS(Weights!$W:$W,Weights!$C:$C,$F52))</f>
        <v/>
      </c>
      <c r="Y52" s="4" t="str">
        <f>IF($D52="","",SUMIFS(Weights!$X:$X,Weights!$C:$C,$F52))</f>
        <v/>
      </c>
      <c r="Z52" s="4" t="str">
        <f>IF($D52="","",SUMIFS(Weights!$Y:$Y,Weights!$C:$C,$F52))</f>
        <v/>
      </c>
      <c r="AA52" s="4" t="str">
        <f>IF($D52="","",SUMIFS(Weights!$Z:$Z,Weights!$C:$C,$F52))</f>
        <v/>
      </c>
      <c r="AB52" s="4" t="str">
        <f>IF($D52="","",SUMIFS(Weights!$AA:$AA,Weights!$C:$C,$F52))</f>
        <v/>
      </c>
      <c r="AC52" s="4" t="str">
        <f>IF($D52="","",SUMIFS(Weights!$AB:$AB,Weights!$C:$C,$F52))</f>
        <v/>
      </c>
      <c r="AD52" s="4" t="str">
        <f>IF($D52="","",SUMIFS(Weights!$AC:$AC,Weights!$C:$C,$F52))</f>
        <v/>
      </c>
      <c r="AE52" s="4" t="str">
        <f>IF($D52="","",SUMIFS(Weights!$AD:$AD,Weights!$C:$C,$F52))</f>
        <v/>
      </c>
      <c r="AF52" s="4" t="str">
        <f>IF($D52="","",SUMIFS(Weights!$AE:$AE,Weights!$C:$C,$F52))</f>
        <v/>
      </c>
      <c r="AG52" s="4" t="str">
        <f>IF($D52="","",SUMIFS(Weights!$AF:$AF,Weights!$C:$C,$F52))</f>
        <v/>
      </c>
      <c r="AH52" s="4" t="str">
        <f>IF($D52="","",SUMIFS(Weights!$AG:$AG,Weights!$C:$C,$F52))</f>
        <v/>
      </c>
      <c r="AI52" s="4" t="str">
        <f>IF($D52="","",SUMIFS(Weights!$AH:$AH,Weights!$C:$C,$F52))</f>
        <v/>
      </c>
      <c r="AJ52" s="4" t="str">
        <f>IF($D52="","",SUMIFS(Weights!$AI:$AI,Weights!$C:$C,$F52))</f>
        <v/>
      </c>
      <c r="AK52" s="4" t="str">
        <f>IF($D52="","",SUMIFS(Weights!$AJ:$AJ,Weights!$C:$C,$F52))</f>
        <v/>
      </c>
      <c r="AL52" s="4" t="str">
        <f>IF($D52="","",SUMIFS(Weights!$AK:$AK,Weights!$C:$C,$F52))</f>
        <v/>
      </c>
      <c r="AM52" s="4" t="str">
        <f>IF($D52="","",SUMIFS(Weights!$AL:$AL,Weights!$C:$C,$F52))</f>
        <v/>
      </c>
    </row>
    <row r="53" spans="1:39" x14ac:dyDescent="0.25">
      <c r="A53" s="4">
        <v>52</v>
      </c>
      <c r="B53" s="4" t="s">
        <v>263</v>
      </c>
      <c r="C53" s="4" t="s">
        <v>268</v>
      </c>
      <c r="D53" s="5" t="s">
        <v>878</v>
      </c>
      <c r="E53" s="4" t="str">
        <f>IF(D53="","",INDEX(Questions!$D$2:$G$81,MATCH(A53,Questions!$A$2:$A$81,0),MATCH(D53,{"A","B","C","D"},0)))</f>
        <v/>
      </c>
      <c r="F53" s="4" t="str">
        <f t="shared" si="1"/>
        <v>52|</v>
      </c>
      <c r="G53" s="4" t="str">
        <f>IF($D53="","",SUMIFS(Weights!$F:$F,Weights!$C:$C,$F53))</f>
        <v/>
      </c>
      <c r="H53" s="4" t="str">
        <f>IF($D53="","",SUMIFS(Weights!$G:$G,Weights!$C:$C,$F53))</f>
        <v/>
      </c>
      <c r="I53" s="4" t="str">
        <f>IF($D53="","",SUMIFS(Weights!$H:$H,Weights!$C:$C,$F53))</f>
        <v/>
      </c>
      <c r="J53" s="4" t="str">
        <f>IF($D53="","",SUMIFS(Weights!$I:$I,Weights!$C:$C,$F53))</f>
        <v/>
      </c>
      <c r="K53" s="4" t="str">
        <f>IF($D53="","",SUMIFS(Weights!$J:$J,Weights!$C:$C,$F53))</f>
        <v/>
      </c>
      <c r="L53" s="4" t="str">
        <f>IF($D53="","",SUMIFS(Weights!$K:$K,Weights!$C:$C,$F53))</f>
        <v/>
      </c>
      <c r="M53" s="4" t="str">
        <f>IF($D53="","",SUMIFS(Weights!$L:$L,Weights!$C:$C,$F53))</f>
        <v/>
      </c>
      <c r="N53" s="4" t="str">
        <f>IF($D53="","",SUMIFS(Weights!$M:$M,Weights!$C:$C,$F53))</f>
        <v/>
      </c>
      <c r="O53" s="4" t="str">
        <f>IF($D53="","",SUMIFS(Weights!$N:$N,Weights!$C:$C,$F53))</f>
        <v/>
      </c>
      <c r="P53" s="4" t="str">
        <f>IF($D53="","",SUMIFS(Weights!$O:$O,Weights!$C:$C,$F53))</f>
        <v/>
      </c>
      <c r="Q53" s="4" t="str">
        <f>IF($D53="","",SUMIFS(Weights!$P:$P,Weights!$C:$C,$F53))</f>
        <v/>
      </c>
      <c r="R53" s="4" t="str">
        <f>IF($D53="","",SUMIFS(Weights!$Q:$Q,Weights!$C:$C,$F53))</f>
        <v/>
      </c>
      <c r="S53" s="4" t="str">
        <f>IF($D53="","",SUMIFS(Weights!$R:$R,Weights!$C:$C,$F53))</f>
        <v/>
      </c>
      <c r="T53" s="4" t="str">
        <f>IF($D53="","",SUMIFS(Weights!$S:$S,Weights!$C:$C,$F53))</f>
        <v/>
      </c>
      <c r="U53" s="4" t="str">
        <f>IF($D53="","",SUMIFS(Weights!$T:$T,Weights!$C:$C,$F53))</f>
        <v/>
      </c>
      <c r="V53" s="4" t="str">
        <f>IF($D53="","",SUMIFS(Weights!$U:$U,Weights!$C:$C,$F53))</f>
        <v/>
      </c>
      <c r="W53" s="4" t="str">
        <f>IF($D53="","",SUMIFS(Weights!$V:$V,Weights!$C:$C,$F53))</f>
        <v/>
      </c>
      <c r="X53" s="4" t="str">
        <f>IF($D53="","",SUMIFS(Weights!$W:$W,Weights!$C:$C,$F53))</f>
        <v/>
      </c>
      <c r="Y53" s="4" t="str">
        <f>IF($D53="","",SUMIFS(Weights!$X:$X,Weights!$C:$C,$F53))</f>
        <v/>
      </c>
      <c r="Z53" s="4" t="str">
        <f>IF($D53="","",SUMIFS(Weights!$Y:$Y,Weights!$C:$C,$F53))</f>
        <v/>
      </c>
      <c r="AA53" s="4" t="str">
        <f>IF($D53="","",SUMIFS(Weights!$Z:$Z,Weights!$C:$C,$F53))</f>
        <v/>
      </c>
      <c r="AB53" s="4" t="str">
        <f>IF($D53="","",SUMIFS(Weights!$AA:$AA,Weights!$C:$C,$F53))</f>
        <v/>
      </c>
      <c r="AC53" s="4" t="str">
        <f>IF($D53="","",SUMIFS(Weights!$AB:$AB,Weights!$C:$C,$F53))</f>
        <v/>
      </c>
      <c r="AD53" s="4" t="str">
        <f>IF($D53="","",SUMIFS(Weights!$AC:$AC,Weights!$C:$C,$F53))</f>
        <v/>
      </c>
      <c r="AE53" s="4" t="str">
        <f>IF($D53="","",SUMIFS(Weights!$AD:$AD,Weights!$C:$C,$F53))</f>
        <v/>
      </c>
      <c r="AF53" s="4" t="str">
        <f>IF($D53="","",SUMIFS(Weights!$AE:$AE,Weights!$C:$C,$F53))</f>
        <v/>
      </c>
      <c r="AG53" s="4" t="str">
        <f>IF($D53="","",SUMIFS(Weights!$AF:$AF,Weights!$C:$C,$F53))</f>
        <v/>
      </c>
      <c r="AH53" s="4" t="str">
        <f>IF($D53="","",SUMIFS(Weights!$AG:$AG,Weights!$C:$C,$F53))</f>
        <v/>
      </c>
      <c r="AI53" s="4" t="str">
        <f>IF($D53="","",SUMIFS(Weights!$AH:$AH,Weights!$C:$C,$F53))</f>
        <v/>
      </c>
      <c r="AJ53" s="4" t="str">
        <f>IF($D53="","",SUMIFS(Weights!$AI:$AI,Weights!$C:$C,$F53))</f>
        <v/>
      </c>
      <c r="AK53" s="4" t="str">
        <f>IF($D53="","",SUMIFS(Weights!$AJ:$AJ,Weights!$C:$C,$F53))</f>
        <v/>
      </c>
      <c r="AL53" s="4" t="str">
        <f>IF($D53="","",SUMIFS(Weights!$AK:$AK,Weights!$C:$C,$F53))</f>
        <v/>
      </c>
      <c r="AM53" s="4" t="str">
        <f>IF($D53="","",SUMIFS(Weights!$AL:$AL,Weights!$C:$C,$F53))</f>
        <v/>
      </c>
    </row>
    <row r="54" spans="1:39" x14ac:dyDescent="0.25">
      <c r="A54" s="4">
        <v>53</v>
      </c>
      <c r="B54" s="4" t="s">
        <v>263</v>
      </c>
      <c r="C54" s="4" t="s">
        <v>273</v>
      </c>
      <c r="D54" s="5" t="s">
        <v>878</v>
      </c>
      <c r="E54" s="4" t="str">
        <f>IF(D54="","",INDEX(Questions!$D$2:$G$81,MATCH(A54,Questions!$A$2:$A$81,0),MATCH(D54,{"A","B","C","D"},0)))</f>
        <v/>
      </c>
      <c r="F54" s="4" t="str">
        <f t="shared" si="1"/>
        <v>53|</v>
      </c>
      <c r="G54" s="4" t="str">
        <f>IF($D54="","",SUMIFS(Weights!$F:$F,Weights!$C:$C,$F54))</f>
        <v/>
      </c>
      <c r="H54" s="4" t="str">
        <f>IF($D54="","",SUMIFS(Weights!$G:$G,Weights!$C:$C,$F54))</f>
        <v/>
      </c>
      <c r="I54" s="4" t="str">
        <f>IF($D54="","",SUMIFS(Weights!$H:$H,Weights!$C:$C,$F54))</f>
        <v/>
      </c>
      <c r="J54" s="4" t="str">
        <f>IF($D54="","",SUMIFS(Weights!$I:$I,Weights!$C:$C,$F54))</f>
        <v/>
      </c>
      <c r="K54" s="4" t="str">
        <f>IF($D54="","",SUMIFS(Weights!$J:$J,Weights!$C:$C,$F54))</f>
        <v/>
      </c>
      <c r="L54" s="4" t="str">
        <f>IF($D54="","",SUMIFS(Weights!$K:$K,Weights!$C:$C,$F54))</f>
        <v/>
      </c>
      <c r="M54" s="4" t="str">
        <f>IF($D54="","",SUMIFS(Weights!$L:$L,Weights!$C:$C,$F54))</f>
        <v/>
      </c>
      <c r="N54" s="4" t="str">
        <f>IF($D54="","",SUMIFS(Weights!$M:$M,Weights!$C:$C,$F54))</f>
        <v/>
      </c>
      <c r="O54" s="4" t="str">
        <f>IF($D54="","",SUMIFS(Weights!$N:$N,Weights!$C:$C,$F54))</f>
        <v/>
      </c>
      <c r="P54" s="4" t="str">
        <f>IF($D54="","",SUMIFS(Weights!$O:$O,Weights!$C:$C,$F54))</f>
        <v/>
      </c>
      <c r="Q54" s="4" t="str">
        <f>IF($D54="","",SUMIFS(Weights!$P:$P,Weights!$C:$C,$F54))</f>
        <v/>
      </c>
      <c r="R54" s="4" t="str">
        <f>IF($D54="","",SUMIFS(Weights!$Q:$Q,Weights!$C:$C,$F54))</f>
        <v/>
      </c>
      <c r="S54" s="4" t="str">
        <f>IF($D54="","",SUMIFS(Weights!$R:$R,Weights!$C:$C,$F54))</f>
        <v/>
      </c>
      <c r="T54" s="4" t="str">
        <f>IF($D54="","",SUMIFS(Weights!$S:$S,Weights!$C:$C,$F54))</f>
        <v/>
      </c>
      <c r="U54" s="4" t="str">
        <f>IF($D54="","",SUMIFS(Weights!$T:$T,Weights!$C:$C,$F54))</f>
        <v/>
      </c>
      <c r="V54" s="4" t="str">
        <f>IF($D54="","",SUMIFS(Weights!$U:$U,Weights!$C:$C,$F54))</f>
        <v/>
      </c>
      <c r="W54" s="4" t="str">
        <f>IF($D54="","",SUMIFS(Weights!$V:$V,Weights!$C:$C,$F54))</f>
        <v/>
      </c>
      <c r="X54" s="4" t="str">
        <f>IF($D54="","",SUMIFS(Weights!$W:$W,Weights!$C:$C,$F54))</f>
        <v/>
      </c>
      <c r="Y54" s="4" t="str">
        <f>IF($D54="","",SUMIFS(Weights!$X:$X,Weights!$C:$C,$F54))</f>
        <v/>
      </c>
      <c r="Z54" s="4" t="str">
        <f>IF($D54="","",SUMIFS(Weights!$Y:$Y,Weights!$C:$C,$F54))</f>
        <v/>
      </c>
      <c r="AA54" s="4" t="str">
        <f>IF($D54="","",SUMIFS(Weights!$Z:$Z,Weights!$C:$C,$F54))</f>
        <v/>
      </c>
      <c r="AB54" s="4" t="str">
        <f>IF($D54="","",SUMIFS(Weights!$AA:$AA,Weights!$C:$C,$F54))</f>
        <v/>
      </c>
      <c r="AC54" s="4" t="str">
        <f>IF($D54="","",SUMIFS(Weights!$AB:$AB,Weights!$C:$C,$F54))</f>
        <v/>
      </c>
      <c r="AD54" s="4" t="str">
        <f>IF($D54="","",SUMIFS(Weights!$AC:$AC,Weights!$C:$C,$F54))</f>
        <v/>
      </c>
      <c r="AE54" s="4" t="str">
        <f>IF($D54="","",SUMIFS(Weights!$AD:$AD,Weights!$C:$C,$F54))</f>
        <v/>
      </c>
      <c r="AF54" s="4" t="str">
        <f>IF($D54="","",SUMIFS(Weights!$AE:$AE,Weights!$C:$C,$F54))</f>
        <v/>
      </c>
      <c r="AG54" s="4" t="str">
        <f>IF($D54="","",SUMIFS(Weights!$AF:$AF,Weights!$C:$C,$F54))</f>
        <v/>
      </c>
      <c r="AH54" s="4" t="str">
        <f>IF($D54="","",SUMIFS(Weights!$AG:$AG,Weights!$C:$C,$F54))</f>
        <v/>
      </c>
      <c r="AI54" s="4" t="str">
        <f>IF($D54="","",SUMIFS(Weights!$AH:$AH,Weights!$C:$C,$F54))</f>
        <v/>
      </c>
      <c r="AJ54" s="4" t="str">
        <f>IF($D54="","",SUMIFS(Weights!$AI:$AI,Weights!$C:$C,$F54))</f>
        <v/>
      </c>
      <c r="AK54" s="4" t="str">
        <f>IF($D54="","",SUMIFS(Weights!$AJ:$AJ,Weights!$C:$C,$F54))</f>
        <v/>
      </c>
      <c r="AL54" s="4" t="str">
        <f>IF($D54="","",SUMIFS(Weights!$AK:$AK,Weights!$C:$C,$F54))</f>
        <v/>
      </c>
      <c r="AM54" s="4" t="str">
        <f>IF($D54="","",SUMIFS(Weights!$AL:$AL,Weights!$C:$C,$F54))</f>
        <v/>
      </c>
    </row>
    <row r="55" spans="1:39" x14ac:dyDescent="0.25">
      <c r="A55" s="4">
        <v>54</v>
      </c>
      <c r="B55" s="4" t="s">
        <v>263</v>
      </c>
      <c r="C55" s="4" t="s">
        <v>277</v>
      </c>
      <c r="D55" s="5" t="s">
        <v>878</v>
      </c>
      <c r="E55" s="4" t="str">
        <f>IF(D55="","",INDEX(Questions!$D$2:$G$81,MATCH(A55,Questions!$A$2:$A$81,0),MATCH(D55,{"A","B","C","D"},0)))</f>
        <v/>
      </c>
      <c r="F55" s="4" t="str">
        <f t="shared" si="1"/>
        <v>54|</v>
      </c>
      <c r="G55" s="4" t="str">
        <f>IF($D55="","",SUMIFS(Weights!$F:$F,Weights!$C:$C,$F55))</f>
        <v/>
      </c>
      <c r="H55" s="4" t="str">
        <f>IF($D55="","",SUMIFS(Weights!$G:$G,Weights!$C:$C,$F55))</f>
        <v/>
      </c>
      <c r="I55" s="4" t="str">
        <f>IF($D55="","",SUMIFS(Weights!$H:$H,Weights!$C:$C,$F55))</f>
        <v/>
      </c>
      <c r="J55" s="4" t="str">
        <f>IF($D55="","",SUMIFS(Weights!$I:$I,Weights!$C:$C,$F55))</f>
        <v/>
      </c>
      <c r="K55" s="4" t="str">
        <f>IF($D55="","",SUMIFS(Weights!$J:$J,Weights!$C:$C,$F55))</f>
        <v/>
      </c>
      <c r="L55" s="4" t="str">
        <f>IF($D55="","",SUMIFS(Weights!$K:$K,Weights!$C:$C,$F55))</f>
        <v/>
      </c>
      <c r="M55" s="4" t="str">
        <f>IF($D55="","",SUMIFS(Weights!$L:$L,Weights!$C:$C,$F55))</f>
        <v/>
      </c>
      <c r="N55" s="4" t="str">
        <f>IF($D55="","",SUMIFS(Weights!$M:$M,Weights!$C:$C,$F55))</f>
        <v/>
      </c>
      <c r="O55" s="4" t="str">
        <f>IF($D55="","",SUMIFS(Weights!$N:$N,Weights!$C:$C,$F55))</f>
        <v/>
      </c>
      <c r="P55" s="4" t="str">
        <f>IF($D55="","",SUMIFS(Weights!$O:$O,Weights!$C:$C,$F55))</f>
        <v/>
      </c>
      <c r="Q55" s="4" t="str">
        <f>IF($D55="","",SUMIFS(Weights!$P:$P,Weights!$C:$C,$F55))</f>
        <v/>
      </c>
      <c r="R55" s="4" t="str">
        <f>IF($D55="","",SUMIFS(Weights!$Q:$Q,Weights!$C:$C,$F55))</f>
        <v/>
      </c>
      <c r="S55" s="4" t="str">
        <f>IF($D55="","",SUMIFS(Weights!$R:$R,Weights!$C:$C,$F55))</f>
        <v/>
      </c>
      <c r="T55" s="4" t="str">
        <f>IF($D55="","",SUMIFS(Weights!$S:$S,Weights!$C:$C,$F55))</f>
        <v/>
      </c>
      <c r="U55" s="4" t="str">
        <f>IF($D55="","",SUMIFS(Weights!$T:$T,Weights!$C:$C,$F55))</f>
        <v/>
      </c>
      <c r="V55" s="4" t="str">
        <f>IF($D55="","",SUMIFS(Weights!$U:$U,Weights!$C:$C,$F55))</f>
        <v/>
      </c>
      <c r="W55" s="4" t="str">
        <f>IF($D55="","",SUMIFS(Weights!$V:$V,Weights!$C:$C,$F55))</f>
        <v/>
      </c>
      <c r="X55" s="4" t="str">
        <f>IF($D55="","",SUMIFS(Weights!$W:$W,Weights!$C:$C,$F55))</f>
        <v/>
      </c>
      <c r="Y55" s="4" t="str">
        <f>IF($D55="","",SUMIFS(Weights!$X:$X,Weights!$C:$C,$F55))</f>
        <v/>
      </c>
      <c r="Z55" s="4" t="str">
        <f>IF($D55="","",SUMIFS(Weights!$Y:$Y,Weights!$C:$C,$F55))</f>
        <v/>
      </c>
      <c r="AA55" s="4" t="str">
        <f>IF($D55="","",SUMIFS(Weights!$Z:$Z,Weights!$C:$C,$F55))</f>
        <v/>
      </c>
      <c r="AB55" s="4" t="str">
        <f>IF($D55="","",SUMIFS(Weights!$AA:$AA,Weights!$C:$C,$F55))</f>
        <v/>
      </c>
      <c r="AC55" s="4" t="str">
        <f>IF($D55="","",SUMIFS(Weights!$AB:$AB,Weights!$C:$C,$F55))</f>
        <v/>
      </c>
      <c r="AD55" s="4" t="str">
        <f>IF($D55="","",SUMIFS(Weights!$AC:$AC,Weights!$C:$C,$F55))</f>
        <v/>
      </c>
      <c r="AE55" s="4" t="str">
        <f>IF($D55="","",SUMIFS(Weights!$AD:$AD,Weights!$C:$C,$F55))</f>
        <v/>
      </c>
      <c r="AF55" s="4" t="str">
        <f>IF($D55="","",SUMIFS(Weights!$AE:$AE,Weights!$C:$C,$F55))</f>
        <v/>
      </c>
      <c r="AG55" s="4" t="str">
        <f>IF($D55="","",SUMIFS(Weights!$AF:$AF,Weights!$C:$C,$F55))</f>
        <v/>
      </c>
      <c r="AH55" s="4" t="str">
        <f>IF($D55="","",SUMIFS(Weights!$AG:$AG,Weights!$C:$C,$F55))</f>
        <v/>
      </c>
      <c r="AI55" s="4" t="str">
        <f>IF($D55="","",SUMIFS(Weights!$AH:$AH,Weights!$C:$C,$F55))</f>
        <v/>
      </c>
      <c r="AJ55" s="4" t="str">
        <f>IF($D55="","",SUMIFS(Weights!$AI:$AI,Weights!$C:$C,$F55))</f>
        <v/>
      </c>
      <c r="AK55" s="4" t="str">
        <f>IF($D55="","",SUMIFS(Weights!$AJ:$AJ,Weights!$C:$C,$F55))</f>
        <v/>
      </c>
      <c r="AL55" s="4" t="str">
        <f>IF($D55="","",SUMIFS(Weights!$AK:$AK,Weights!$C:$C,$F55))</f>
        <v/>
      </c>
      <c r="AM55" s="4" t="str">
        <f>IF($D55="","",SUMIFS(Weights!$AL:$AL,Weights!$C:$C,$F55))</f>
        <v/>
      </c>
    </row>
    <row r="56" spans="1:39" x14ac:dyDescent="0.25">
      <c r="A56" s="4">
        <v>55</v>
      </c>
      <c r="B56" s="4" t="s">
        <v>263</v>
      </c>
      <c r="C56" s="4" t="s">
        <v>281</v>
      </c>
      <c r="D56" s="5" t="s">
        <v>878</v>
      </c>
      <c r="E56" s="4" t="str">
        <f>IF(D56="","",INDEX(Questions!$D$2:$G$81,MATCH(A56,Questions!$A$2:$A$81,0),MATCH(D56,{"A","B","C","D"},0)))</f>
        <v/>
      </c>
      <c r="F56" s="4" t="str">
        <f t="shared" si="1"/>
        <v>55|</v>
      </c>
      <c r="G56" s="4" t="str">
        <f>IF($D56="","",SUMIFS(Weights!$F:$F,Weights!$C:$C,$F56))</f>
        <v/>
      </c>
      <c r="H56" s="4" t="str">
        <f>IF($D56="","",SUMIFS(Weights!$G:$G,Weights!$C:$C,$F56))</f>
        <v/>
      </c>
      <c r="I56" s="4" t="str">
        <f>IF($D56="","",SUMIFS(Weights!$H:$H,Weights!$C:$C,$F56))</f>
        <v/>
      </c>
      <c r="J56" s="4" t="str">
        <f>IF($D56="","",SUMIFS(Weights!$I:$I,Weights!$C:$C,$F56))</f>
        <v/>
      </c>
      <c r="K56" s="4" t="str">
        <f>IF($D56="","",SUMIFS(Weights!$J:$J,Weights!$C:$C,$F56))</f>
        <v/>
      </c>
      <c r="L56" s="4" t="str">
        <f>IF($D56="","",SUMIFS(Weights!$K:$K,Weights!$C:$C,$F56))</f>
        <v/>
      </c>
      <c r="M56" s="4" t="str">
        <f>IF($D56="","",SUMIFS(Weights!$L:$L,Weights!$C:$C,$F56))</f>
        <v/>
      </c>
      <c r="N56" s="4" t="str">
        <f>IF($D56="","",SUMIFS(Weights!$M:$M,Weights!$C:$C,$F56))</f>
        <v/>
      </c>
      <c r="O56" s="4" t="str">
        <f>IF($D56="","",SUMIFS(Weights!$N:$N,Weights!$C:$C,$F56))</f>
        <v/>
      </c>
      <c r="P56" s="4" t="str">
        <f>IF($D56="","",SUMIFS(Weights!$O:$O,Weights!$C:$C,$F56))</f>
        <v/>
      </c>
      <c r="Q56" s="4" t="str">
        <f>IF($D56="","",SUMIFS(Weights!$P:$P,Weights!$C:$C,$F56))</f>
        <v/>
      </c>
      <c r="R56" s="4" t="str">
        <f>IF($D56="","",SUMIFS(Weights!$Q:$Q,Weights!$C:$C,$F56))</f>
        <v/>
      </c>
      <c r="S56" s="4" t="str">
        <f>IF($D56="","",SUMIFS(Weights!$R:$R,Weights!$C:$C,$F56))</f>
        <v/>
      </c>
      <c r="T56" s="4" t="str">
        <f>IF($D56="","",SUMIFS(Weights!$S:$S,Weights!$C:$C,$F56))</f>
        <v/>
      </c>
      <c r="U56" s="4" t="str">
        <f>IF($D56="","",SUMIFS(Weights!$T:$T,Weights!$C:$C,$F56))</f>
        <v/>
      </c>
      <c r="V56" s="4" t="str">
        <f>IF($D56="","",SUMIFS(Weights!$U:$U,Weights!$C:$C,$F56))</f>
        <v/>
      </c>
      <c r="W56" s="4" t="str">
        <f>IF($D56="","",SUMIFS(Weights!$V:$V,Weights!$C:$C,$F56))</f>
        <v/>
      </c>
      <c r="X56" s="4" t="str">
        <f>IF($D56="","",SUMIFS(Weights!$W:$W,Weights!$C:$C,$F56))</f>
        <v/>
      </c>
      <c r="Y56" s="4" t="str">
        <f>IF($D56="","",SUMIFS(Weights!$X:$X,Weights!$C:$C,$F56))</f>
        <v/>
      </c>
      <c r="Z56" s="4" t="str">
        <f>IF($D56="","",SUMIFS(Weights!$Y:$Y,Weights!$C:$C,$F56))</f>
        <v/>
      </c>
      <c r="AA56" s="4" t="str">
        <f>IF($D56="","",SUMIFS(Weights!$Z:$Z,Weights!$C:$C,$F56))</f>
        <v/>
      </c>
      <c r="AB56" s="4" t="str">
        <f>IF($D56="","",SUMIFS(Weights!$AA:$AA,Weights!$C:$C,$F56))</f>
        <v/>
      </c>
      <c r="AC56" s="4" t="str">
        <f>IF($D56="","",SUMIFS(Weights!$AB:$AB,Weights!$C:$C,$F56))</f>
        <v/>
      </c>
      <c r="AD56" s="4" t="str">
        <f>IF($D56="","",SUMIFS(Weights!$AC:$AC,Weights!$C:$C,$F56))</f>
        <v/>
      </c>
      <c r="AE56" s="4" t="str">
        <f>IF($D56="","",SUMIFS(Weights!$AD:$AD,Weights!$C:$C,$F56))</f>
        <v/>
      </c>
      <c r="AF56" s="4" t="str">
        <f>IF($D56="","",SUMIFS(Weights!$AE:$AE,Weights!$C:$C,$F56))</f>
        <v/>
      </c>
      <c r="AG56" s="4" t="str">
        <f>IF($D56="","",SUMIFS(Weights!$AF:$AF,Weights!$C:$C,$F56))</f>
        <v/>
      </c>
      <c r="AH56" s="4" t="str">
        <f>IF($D56="","",SUMIFS(Weights!$AG:$AG,Weights!$C:$C,$F56))</f>
        <v/>
      </c>
      <c r="AI56" s="4" t="str">
        <f>IF($D56="","",SUMIFS(Weights!$AH:$AH,Weights!$C:$C,$F56))</f>
        <v/>
      </c>
      <c r="AJ56" s="4" t="str">
        <f>IF($D56="","",SUMIFS(Weights!$AI:$AI,Weights!$C:$C,$F56))</f>
        <v/>
      </c>
      <c r="AK56" s="4" t="str">
        <f>IF($D56="","",SUMIFS(Weights!$AJ:$AJ,Weights!$C:$C,$F56))</f>
        <v/>
      </c>
      <c r="AL56" s="4" t="str">
        <f>IF($D56="","",SUMIFS(Weights!$AK:$AK,Weights!$C:$C,$F56))</f>
        <v/>
      </c>
      <c r="AM56" s="4" t="str">
        <f>IF($D56="","",SUMIFS(Weights!$AL:$AL,Weights!$C:$C,$F56))</f>
        <v/>
      </c>
    </row>
    <row r="57" spans="1:39" x14ac:dyDescent="0.25">
      <c r="A57" s="4">
        <v>56</v>
      </c>
      <c r="B57" s="4" t="s">
        <v>286</v>
      </c>
      <c r="C57" s="4" t="s">
        <v>287</v>
      </c>
      <c r="D57" s="5" t="s">
        <v>878</v>
      </c>
      <c r="E57" s="4" t="str">
        <f>IF(D57="","",INDEX(Questions!$D$2:$G$81,MATCH(A57,Questions!$A$2:$A$81,0),MATCH(D57,{"A","B","C","D"},0)))</f>
        <v/>
      </c>
      <c r="F57" s="4" t="str">
        <f t="shared" si="1"/>
        <v>56|</v>
      </c>
      <c r="G57" s="4" t="str">
        <f>IF($D57="","",SUMIFS(Weights!$F:$F,Weights!$C:$C,$F57))</f>
        <v/>
      </c>
      <c r="H57" s="4" t="str">
        <f>IF($D57="","",SUMIFS(Weights!$G:$G,Weights!$C:$C,$F57))</f>
        <v/>
      </c>
      <c r="I57" s="4" t="str">
        <f>IF($D57="","",SUMIFS(Weights!$H:$H,Weights!$C:$C,$F57))</f>
        <v/>
      </c>
      <c r="J57" s="4" t="str">
        <f>IF($D57="","",SUMIFS(Weights!$I:$I,Weights!$C:$C,$F57))</f>
        <v/>
      </c>
      <c r="K57" s="4" t="str">
        <f>IF($D57="","",SUMIFS(Weights!$J:$J,Weights!$C:$C,$F57))</f>
        <v/>
      </c>
      <c r="L57" s="4" t="str">
        <f>IF($D57="","",SUMIFS(Weights!$K:$K,Weights!$C:$C,$F57))</f>
        <v/>
      </c>
      <c r="M57" s="4" t="str">
        <f>IF($D57="","",SUMIFS(Weights!$L:$L,Weights!$C:$C,$F57))</f>
        <v/>
      </c>
      <c r="N57" s="4" t="str">
        <f>IF($D57="","",SUMIFS(Weights!$M:$M,Weights!$C:$C,$F57))</f>
        <v/>
      </c>
      <c r="O57" s="4" t="str">
        <f>IF($D57="","",SUMIFS(Weights!$N:$N,Weights!$C:$C,$F57))</f>
        <v/>
      </c>
      <c r="P57" s="4" t="str">
        <f>IF($D57="","",SUMIFS(Weights!$O:$O,Weights!$C:$C,$F57))</f>
        <v/>
      </c>
      <c r="Q57" s="4" t="str">
        <f>IF($D57="","",SUMIFS(Weights!$P:$P,Weights!$C:$C,$F57))</f>
        <v/>
      </c>
      <c r="R57" s="4" t="str">
        <f>IF($D57="","",SUMIFS(Weights!$Q:$Q,Weights!$C:$C,$F57))</f>
        <v/>
      </c>
      <c r="S57" s="4" t="str">
        <f>IF($D57="","",SUMIFS(Weights!$R:$R,Weights!$C:$C,$F57))</f>
        <v/>
      </c>
      <c r="T57" s="4" t="str">
        <f>IF($D57="","",SUMIFS(Weights!$S:$S,Weights!$C:$C,$F57))</f>
        <v/>
      </c>
      <c r="U57" s="4" t="str">
        <f>IF($D57="","",SUMIFS(Weights!$T:$T,Weights!$C:$C,$F57))</f>
        <v/>
      </c>
      <c r="V57" s="4" t="str">
        <f>IF($D57="","",SUMIFS(Weights!$U:$U,Weights!$C:$C,$F57))</f>
        <v/>
      </c>
      <c r="W57" s="4" t="str">
        <f>IF($D57="","",SUMIFS(Weights!$V:$V,Weights!$C:$C,$F57))</f>
        <v/>
      </c>
      <c r="X57" s="4" t="str">
        <f>IF($D57="","",SUMIFS(Weights!$W:$W,Weights!$C:$C,$F57))</f>
        <v/>
      </c>
      <c r="Y57" s="4" t="str">
        <f>IF($D57="","",SUMIFS(Weights!$X:$X,Weights!$C:$C,$F57))</f>
        <v/>
      </c>
      <c r="Z57" s="4" t="str">
        <f>IF($D57="","",SUMIFS(Weights!$Y:$Y,Weights!$C:$C,$F57))</f>
        <v/>
      </c>
      <c r="AA57" s="4" t="str">
        <f>IF($D57="","",SUMIFS(Weights!$Z:$Z,Weights!$C:$C,$F57))</f>
        <v/>
      </c>
      <c r="AB57" s="4" t="str">
        <f>IF($D57="","",SUMIFS(Weights!$AA:$AA,Weights!$C:$C,$F57))</f>
        <v/>
      </c>
      <c r="AC57" s="4" t="str">
        <f>IF($D57="","",SUMIFS(Weights!$AB:$AB,Weights!$C:$C,$F57))</f>
        <v/>
      </c>
      <c r="AD57" s="4" t="str">
        <f>IF($D57="","",SUMIFS(Weights!$AC:$AC,Weights!$C:$C,$F57))</f>
        <v/>
      </c>
      <c r="AE57" s="4" t="str">
        <f>IF($D57="","",SUMIFS(Weights!$AD:$AD,Weights!$C:$C,$F57))</f>
        <v/>
      </c>
      <c r="AF57" s="4" t="str">
        <f>IF($D57="","",SUMIFS(Weights!$AE:$AE,Weights!$C:$C,$F57))</f>
        <v/>
      </c>
      <c r="AG57" s="4" t="str">
        <f>IF($D57="","",SUMIFS(Weights!$AF:$AF,Weights!$C:$C,$F57))</f>
        <v/>
      </c>
      <c r="AH57" s="4" t="str">
        <f>IF($D57="","",SUMIFS(Weights!$AG:$AG,Weights!$C:$C,$F57))</f>
        <v/>
      </c>
      <c r="AI57" s="4" t="str">
        <f>IF($D57="","",SUMIFS(Weights!$AH:$AH,Weights!$C:$C,$F57))</f>
        <v/>
      </c>
      <c r="AJ57" s="4" t="str">
        <f>IF($D57="","",SUMIFS(Weights!$AI:$AI,Weights!$C:$C,$F57))</f>
        <v/>
      </c>
      <c r="AK57" s="4" t="str">
        <f>IF($D57="","",SUMIFS(Weights!$AJ:$AJ,Weights!$C:$C,$F57))</f>
        <v/>
      </c>
      <c r="AL57" s="4" t="str">
        <f>IF($D57="","",SUMIFS(Weights!$AK:$AK,Weights!$C:$C,$F57))</f>
        <v/>
      </c>
      <c r="AM57" s="4" t="str">
        <f>IF($D57="","",SUMIFS(Weights!$AL:$AL,Weights!$C:$C,$F57))</f>
        <v/>
      </c>
    </row>
    <row r="58" spans="1:39" x14ac:dyDescent="0.25">
      <c r="A58" s="4">
        <v>57</v>
      </c>
      <c r="B58" s="4" t="s">
        <v>286</v>
      </c>
      <c r="C58" s="4" t="s">
        <v>292</v>
      </c>
      <c r="D58" s="5" t="s">
        <v>878</v>
      </c>
      <c r="E58" s="4" t="str">
        <f>IF(D58="","",INDEX(Questions!$D$2:$G$81,MATCH(A58,Questions!$A$2:$A$81,0),MATCH(D58,{"A","B","C","D"},0)))</f>
        <v/>
      </c>
      <c r="F58" s="4" t="str">
        <f t="shared" si="1"/>
        <v>57|</v>
      </c>
      <c r="G58" s="4" t="str">
        <f>IF($D58="","",SUMIFS(Weights!$F:$F,Weights!$C:$C,$F58))</f>
        <v/>
      </c>
      <c r="H58" s="4" t="str">
        <f>IF($D58="","",SUMIFS(Weights!$G:$G,Weights!$C:$C,$F58))</f>
        <v/>
      </c>
      <c r="I58" s="4" t="str">
        <f>IF($D58="","",SUMIFS(Weights!$H:$H,Weights!$C:$C,$F58))</f>
        <v/>
      </c>
      <c r="J58" s="4" t="str">
        <f>IF($D58="","",SUMIFS(Weights!$I:$I,Weights!$C:$C,$F58))</f>
        <v/>
      </c>
      <c r="K58" s="4" t="str">
        <f>IF($D58="","",SUMIFS(Weights!$J:$J,Weights!$C:$C,$F58))</f>
        <v/>
      </c>
      <c r="L58" s="4" t="str">
        <f>IF($D58="","",SUMIFS(Weights!$K:$K,Weights!$C:$C,$F58))</f>
        <v/>
      </c>
      <c r="M58" s="4" t="str">
        <f>IF($D58="","",SUMIFS(Weights!$L:$L,Weights!$C:$C,$F58))</f>
        <v/>
      </c>
      <c r="N58" s="4" t="str">
        <f>IF($D58="","",SUMIFS(Weights!$M:$M,Weights!$C:$C,$F58))</f>
        <v/>
      </c>
      <c r="O58" s="4" t="str">
        <f>IF($D58="","",SUMIFS(Weights!$N:$N,Weights!$C:$C,$F58))</f>
        <v/>
      </c>
      <c r="P58" s="4" t="str">
        <f>IF($D58="","",SUMIFS(Weights!$O:$O,Weights!$C:$C,$F58))</f>
        <v/>
      </c>
      <c r="Q58" s="4" t="str">
        <f>IF($D58="","",SUMIFS(Weights!$P:$P,Weights!$C:$C,$F58))</f>
        <v/>
      </c>
      <c r="R58" s="4" t="str">
        <f>IF($D58="","",SUMIFS(Weights!$Q:$Q,Weights!$C:$C,$F58))</f>
        <v/>
      </c>
      <c r="S58" s="4" t="str">
        <f>IF($D58="","",SUMIFS(Weights!$R:$R,Weights!$C:$C,$F58))</f>
        <v/>
      </c>
      <c r="T58" s="4" t="str">
        <f>IF($D58="","",SUMIFS(Weights!$S:$S,Weights!$C:$C,$F58))</f>
        <v/>
      </c>
      <c r="U58" s="4" t="str">
        <f>IF($D58="","",SUMIFS(Weights!$T:$T,Weights!$C:$C,$F58))</f>
        <v/>
      </c>
      <c r="V58" s="4" t="str">
        <f>IF($D58="","",SUMIFS(Weights!$U:$U,Weights!$C:$C,$F58))</f>
        <v/>
      </c>
      <c r="W58" s="4" t="str">
        <f>IF($D58="","",SUMIFS(Weights!$V:$V,Weights!$C:$C,$F58))</f>
        <v/>
      </c>
      <c r="X58" s="4" t="str">
        <f>IF($D58="","",SUMIFS(Weights!$W:$W,Weights!$C:$C,$F58))</f>
        <v/>
      </c>
      <c r="Y58" s="4" t="str">
        <f>IF($D58="","",SUMIFS(Weights!$X:$X,Weights!$C:$C,$F58))</f>
        <v/>
      </c>
      <c r="Z58" s="4" t="str">
        <f>IF($D58="","",SUMIFS(Weights!$Y:$Y,Weights!$C:$C,$F58))</f>
        <v/>
      </c>
      <c r="AA58" s="4" t="str">
        <f>IF($D58="","",SUMIFS(Weights!$Z:$Z,Weights!$C:$C,$F58))</f>
        <v/>
      </c>
      <c r="AB58" s="4" t="str">
        <f>IF($D58="","",SUMIFS(Weights!$AA:$AA,Weights!$C:$C,$F58))</f>
        <v/>
      </c>
      <c r="AC58" s="4" t="str">
        <f>IF($D58="","",SUMIFS(Weights!$AB:$AB,Weights!$C:$C,$F58))</f>
        <v/>
      </c>
      <c r="AD58" s="4" t="str">
        <f>IF($D58="","",SUMIFS(Weights!$AC:$AC,Weights!$C:$C,$F58))</f>
        <v/>
      </c>
      <c r="AE58" s="4" t="str">
        <f>IF($D58="","",SUMIFS(Weights!$AD:$AD,Weights!$C:$C,$F58))</f>
        <v/>
      </c>
      <c r="AF58" s="4" t="str">
        <f>IF($D58="","",SUMIFS(Weights!$AE:$AE,Weights!$C:$C,$F58))</f>
        <v/>
      </c>
      <c r="AG58" s="4" t="str">
        <f>IF($D58="","",SUMIFS(Weights!$AF:$AF,Weights!$C:$C,$F58))</f>
        <v/>
      </c>
      <c r="AH58" s="4" t="str">
        <f>IF($D58="","",SUMIFS(Weights!$AG:$AG,Weights!$C:$C,$F58))</f>
        <v/>
      </c>
      <c r="AI58" s="4" t="str">
        <f>IF($D58="","",SUMIFS(Weights!$AH:$AH,Weights!$C:$C,$F58))</f>
        <v/>
      </c>
      <c r="AJ58" s="4" t="str">
        <f>IF($D58="","",SUMIFS(Weights!$AI:$AI,Weights!$C:$C,$F58))</f>
        <v/>
      </c>
      <c r="AK58" s="4" t="str">
        <f>IF($D58="","",SUMIFS(Weights!$AJ:$AJ,Weights!$C:$C,$F58))</f>
        <v/>
      </c>
      <c r="AL58" s="4" t="str">
        <f>IF($D58="","",SUMIFS(Weights!$AK:$AK,Weights!$C:$C,$F58))</f>
        <v/>
      </c>
      <c r="AM58" s="4" t="str">
        <f>IF($D58="","",SUMIFS(Weights!$AL:$AL,Weights!$C:$C,$F58))</f>
        <v/>
      </c>
    </row>
    <row r="59" spans="1:39" x14ac:dyDescent="0.25">
      <c r="A59" s="4">
        <v>58</v>
      </c>
      <c r="B59" s="4" t="s">
        <v>286</v>
      </c>
      <c r="C59" s="4" t="s">
        <v>295</v>
      </c>
      <c r="D59" s="5" t="s">
        <v>878</v>
      </c>
      <c r="E59" s="4" t="str">
        <f>IF(D59="","",INDEX(Questions!$D$2:$G$81,MATCH(A59,Questions!$A$2:$A$81,0),MATCH(D59,{"A","B","C","D"},0)))</f>
        <v/>
      </c>
      <c r="F59" s="4" t="str">
        <f t="shared" si="1"/>
        <v>58|</v>
      </c>
      <c r="G59" s="4" t="str">
        <f>IF($D59="","",SUMIFS(Weights!$F:$F,Weights!$C:$C,$F59))</f>
        <v/>
      </c>
      <c r="H59" s="4" t="str">
        <f>IF($D59="","",SUMIFS(Weights!$G:$G,Weights!$C:$C,$F59))</f>
        <v/>
      </c>
      <c r="I59" s="4" t="str">
        <f>IF($D59="","",SUMIFS(Weights!$H:$H,Weights!$C:$C,$F59))</f>
        <v/>
      </c>
      <c r="J59" s="4" t="str">
        <f>IF($D59="","",SUMIFS(Weights!$I:$I,Weights!$C:$C,$F59))</f>
        <v/>
      </c>
      <c r="K59" s="4" t="str">
        <f>IF($D59="","",SUMIFS(Weights!$J:$J,Weights!$C:$C,$F59))</f>
        <v/>
      </c>
      <c r="L59" s="4" t="str">
        <f>IF($D59="","",SUMIFS(Weights!$K:$K,Weights!$C:$C,$F59))</f>
        <v/>
      </c>
      <c r="M59" s="4" t="str">
        <f>IF($D59="","",SUMIFS(Weights!$L:$L,Weights!$C:$C,$F59))</f>
        <v/>
      </c>
      <c r="N59" s="4" t="str">
        <f>IF($D59="","",SUMIFS(Weights!$M:$M,Weights!$C:$C,$F59))</f>
        <v/>
      </c>
      <c r="O59" s="4" t="str">
        <f>IF($D59="","",SUMIFS(Weights!$N:$N,Weights!$C:$C,$F59))</f>
        <v/>
      </c>
      <c r="P59" s="4" t="str">
        <f>IF($D59="","",SUMIFS(Weights!$O:$O,Weights!$C:$C,$F59))</f>
        <v/>
      </c>
      <c r="Q59" s="4" t="str">
        <f>IF($D59="","",SUMIFS(Weights!$P:$P,Weights!$C:$C,$F59))</f>
        <v/>
      </c>
      <c r="R59" s="4" t="str">
        <f>IF($D59="","",SUMIFS(Weights!$Q:$Q,Weights!$C:$C,$F59))</f>
        <v/>
      </c>
      <c r="S59" s="4" t="str">
        <f>IF($D59="","",SUMIFS(Weights!$R:$R,Weights!$C:$C,$F59))</f>
        <v/>
      </c>
      <c r="T59" s="4" t="str">
        <f>IF($D59="","",SUMIFS(Weights!$S:$S,Weights!$C:$C,$F59))</f>
        <v/>
      </c>
      <c r="U59" s="4" t="str">
        <f>IF($D59="","",SUMIFS(Weights!$T:$T,Weights!$C:$C,$F59))</f>
        <v/>
      </c>
      <c r="V59" s="4" t="str">
        <f>IF($D59="","",SUMIFS(Weights!$U:$U,Weights!$C:$C,$F59))</f>
        <v/>
      </c>
      <c r="W59" s="4" t="str">
        <f>IF($D59="","",SUMIFS(Weights!$V:$V,Weights!$C:$C,$F59))</f>
        <v/>
      </c>
      <c r="X59" s="4" t="str">
        <f>IF($D59="","",SUMIFS(Weights!$W:$W,Weights!$C:$C,$F59))</f>
        <v/>
      </c>
      <c r="Y59" s="4" t="str">
        <f>IF($D59="","",SUMIFS(Weights!$X:$X,Weights!$C:$C,$F59))</f>
        <v/>
      </c>
      <c r="Z59" s="4" t="str">
        <f>IF($D59="","",SUMIFS(Weights!$Y:$Y,Weights!$C:$C,$F59))</f>
        <v/>
      </c>
      <c r="AA59" s="4" t="str">
        <f>IF($D59="","",SUMIFS(Weights!$Z:$Z,Weights!$C:$C,$F59))</f>
        <v/>
      </c>
      <c r="AB59" s="4" t="str">
        <f>IF($D59="","",SUMIFS(Weights!$AA:$AA,Weights!$C:$C,$F59))</f>
        <v/>
      </c>
      <c r="AC59" s="4" t="str">
        <f>IF($D59="","",SUMIFS(Weights!$AB:$AB,Weights!$C:$C,$F59))</f>
        <v/>
      </c>
      <c r="AD59" s="4" t="str">
        <f>IF($D59="","",SUMIFS(Weights!$AC:$AC,Weights!$C:$C,$F59))</f>
        <v/>
      </c>
      <c r="AE59" s="4" t="str">
        <f>IF($D59="","",SUMIFS(Weights!$AD:$AD,Weights!$C:$C,$F59))</f>
        <v/>
      </c>
      <c r="AF59" s="4" t="str">
        <f>IF($D59="","",SUMIFS(Weights!$AE:$AE,Weights!$C:$C,$F59))</f>
        <v/>
      </c>
      <c r="AG59" s="4" t="str">
        <f>IF($D59="","",SUMIFS(Weights!$AF:$AF,Weights!$C:$C,$F59))</f>
        <v/>
      </c>
      <c r="AH59" s="4" t="str">
        <f>IF($D59="","",SUMIFS(Weights!$AG:$AG,Weights!$C:$C,$F59))</f>
        <v/>
      </c>
      <c r="AI59" s="4" t="str">
        <f>IF($D59="","",SUMIFS(Weights!$AH:$AH,Weights!$C:$C,$F59))</f>
        <v/>
      </c>
      <c r="AJ59" s="4" t="str">
        <f>IF($D59="","",SUMIFS(Weights!$AI:$AI,Weights!$C:$C,$F59))</f>
        <v/>
      </c>
      <c r="AK59" s="4" t="str">
        <f>IF($D59="","",SUMIFS(Weights!$AJ:$AJ,Weights!$C:$C,$F59))</f>
        <v/>
      </c>
      <c r="AL59" s="4" t="str">
        <f>IF($D59="","",SUMIFS(Weights!$AK:$AK,Weights!$C:$C,$F59))</f>
        <v/>
      </c>
      <c r="AM59" s="4" t="str">
        <f>IF($D59="","",SUMIFS(Weights!$AL:$AL,Weights!$C:$C,$F59))</f>
        <v/>
      </c>
    </row>
    <row r="60" spans="1:39" x14ac:dyDescent="0.25">
      <c r="A60" s="4">
        <v>59</v>
      </c>
      <c r="B60" s="4" t="s">
        <v>286</v>
      </c>
      <c r="C60" s="4" t="s">
        <v>300</v>
      </c>
      <c r="D60" s="5" t="s">
        <v>878</v>
      </c>
      <c r="E60" s="4" t="str">
        <f>IF(D60="","",INDEX(Questions!$D$2:$G$81,MATCH(A60,Questions!$A$2:$A$81,0),MATCH(D60,{"A","B","C","D"},0)))</f>
        <v/>
      </c>
      <c r="F60" s="4" t="str">
        <f t="shared" si="1"/>
        <v>59|</v>
      </c>
      <c r="G60" s="4" t="str">
        <f>IF($D60="","",SUMIFS(Weights!$F:$F,Weights!$C:$C,$F60))</f>
        <v/>
      </c>
      <c r="H60" s="4" t="str">
        <f>IF($D60="","",SUMIFS(Weights!$G:$G,Weights!$C:$C,$F60))</f>
        <v/>
      </c>
      <c r="I60" s="4" t="str">
        <f>IF($D60="","",SUMIFS(Weights!$H:$H,Weights!$C:$C,$F60))</f>
        <v/>
      </c>
      <c r="J60" s="4" t="str">
        <f>IF($D60="","",SUMIFS(Weights!$I:$I,Weights!$C:$C,$F60))</f>
        <v/>
      </c>
      <c r="K60" s="4" t="str">
        <f>IF($D60="","",SUMIFS(Weights!$J:$J,Weights!$C:$C,$F60))</f>
        <v/>
      </c>
      <c r="L60" s="4" t="str">
        <f>IF($D60="","",SUMIFS(Weights!$K:$K,Weights!$C:$C,$F60))</f>
        <v/>
      </c>
      <c r="M60" s="4" t="str">
        <f>IF($D60="","",SUMIFS(Weights!$L:$L,Weights!$C:$C,$F60))</f>
        <v/>
      </c>
      <c r="N60" s="4" t="str">
        <f>IF($D60="","",SUMIFS(Weights!$M:$M,Weights!$C:$C,$F60))</f>
        <v/>
      </c>
      <c r="O60" s="4" t="str">
        <f>IF($D60="","",SUMIFS(Weights!$N:$N,Weights!$C:$C,$F60))</f>
        <v/>
      </c>
      <c r="P60" s="4" t="str">
        <f>IF($D60="","",SUMIFS(Weights!$O:$O,Weights!$C:$C,$F60))</f>
        <v/>
      </c>
      <c r="Q60" s="4" t="str">
        <f>IF($D60="","",SUMIFS(Weights!$P:$P,Weights!$C:$C,$F60))</f>
        <v/>
      </c>
      <c r="R60" s="4" t="str">
        <f>IF($D60="","",SUMIFS(Weights!$Q:$Q,Weights!$C:$C,$F60))</f>
        <v/>
      </c>
      <c r="S60" s="4" t="str">
        <f>IF($D60="","",SUMIFS(Weights!$R:$R,Weights!$C:$C,$F60))</f>
        <v/>
      </c>
      <c r="T60" s="4" t="str">
        <f>IF($D60="","",SUMIFS(Weights!$S:$S,Weights!$C:$C,$F60))</f>
        <v/>
      </c>
      <c r="U60" s="4" t="str">
        <f>IF($D60="","",SUMIFS(Weights!$T:$T,Weights!$C:$C,$F60))</f>
        <v/>
      </c>
      <c r="V60" s="4" t="str">
        <f>IF($D60="","",SUMIFS(Weights!$U:$U,Weights!$C:$C,$F60))</f>
        <v/>
      </c>
      <c r="W60" s="4" t="str">
        <f>IF($D60="","",SUMIFS(Weights!$V:$V,Weights!$C:$C,$F60))</f>
        <v/>
      </c>
      <c r="X60" s="4" t="str">
        <f>IF($D60="","",SUMIFS(Weights!$W:$W,Weights!$C:$C,$F60))</f>
        <v/>
      </c>
      <c r="Y60" s="4" t="str">
        <f>IF($D60="","",SUMIFS(Weights!$X:$X,Weights!$C:$C,$F60))</f>
        <v/>
      </c>
      <c r="Z60" s="4" t="str">
        <f>IF($D60="","",SUMIFS(Weights!$Y:$Y,Weights!$C:$C,$F60))</f>
        <v/>
      </c>
      <c r="AA60" s="4" t="str">
        <f>IF($D60="","",SUMIFS(Weights!$Z:$Z,Weights!$C:$C,$F60))</f>
        <v/>
      </c>
      <c r="AB60" s="4" t="str">
        <f>IF($D60="","",SUMIFS(Weights!$AA:$AA,Weights!$C:$C,$F60))</f>
        <v/>
      </c>
      <c r="AC60" s="4" t="str">
        <f>IF($D60="","",SUMIFS(Weights!$AB:$AB,Weights!$C:$C,$F60))</f>
        <v/>
      </c>
      <c r="AD60" s="4" t="str">
        <f>IF($D60="","",SUMIFS(Weights!$AC:$AC,Weights!$C:$C,$F60))</f>
        <v/>
      </c>
      <c r="AE60" s="4" t="str">
        <f>IF($D60="","",SUMIFS(Weights!$AD:$AD,Weights!$C:$C,$F60))</f>
        <v/>
      </c>
      <c r="AF60" s="4" t="str">
        <f>IF($D60="","",SUMIFS(Weights!$AE:$AE,Weights!$C:$C,$F60))</f>
        <v/>
      </c>
      <c r="AG60" s="4" t="str">
        <f>IF($D60="","",SUMIFS(Weights!$AF:$AF,Weights!$C:$C,$F60))</f>
        <v/>
      </c>
      <c r="AH60" s="4" t="str">
        <f>IF($D60="","",SUMIFS(Weights!$AG:$AG,Weights!$C:$C,$F60))</f>
        <v/>
      </c>
      <c r="AI60" s="4" t="str">
        <f>IF($D60="","",SUMIFS(Weights!$AH:$AH,Weights!$C:$C,$F60))</f>
        <v/>
      </c>
      <c r="AJ60" s="4" t="str">
        <f>IF($D60="","",SUMIFS(Weights!$AI:$AI,Weights!$C:$C,$F60))</f>
        <v/>
      </c>
      <c r="AK60" s="4" t="str">
        <f>IF($D60="","",SUMIFS(Weights!$AJ:$AJ,Weights!$C:$C,$F60))</f>
        <v/>
      </c>
      <c r="AL60" s="4" t="str">
        <f>IF($D60="","",SUMIFS(Weights!$AK:$AK,Weights!$C:$C,$F60))</f>
        <v/>
      </c>
      <c r="AM60" s="4" t="str">
        <f>IF($D60="","",SUMIFS(Weights!$AL:$AL,Weights!$C:$C,$F60))</f>
        <v/>
      </c>
    </row>
    <row r="61" spans="1:39" ht="30" x14ac:dyDescent="0.25">
      <c r="A61" s="4">
        <v>60</v>
      </c>
      <c r="B61" s="4" t="s">
        <v>304</v>
      </c>
      <c r="C61" s="4" t="s">
        <v>305</v>
      </c>
      <c r="D61" s="5" t="s">
        <v>878</v>
      </c>
      <c r="E61" s="4" t="str">
        <f>IF(D61="","",INDEX(Questions!$D$2:$G$81,MATCH(A61,Questions!$A$2:$A$81,0),MATCH(D61,{"A","B","C","D"},0)))</f>
        <v/>
      </c>
      <c r="F61" s="4" t="str">
        <f t="shared" si="1"/>
        <v>60|</v>
      </c>
      <c r="G61" s="4" t="str">
        <f>IF($D61="","",SUMIFS(Weights!$F:$F,Weights!$C:$C,$F61))</f>
        <v/>
      </c>
      <c r="H61" s="4" t="str">
        <f>IF($D61="","",SUMIFS(Weights!$G:$G,Weights!$C:$C,$F61))</f>
        <v/>
      </c>
      <c r="I61" s="4" t="str">
        <f>IF($D61="","",SUMIFS(Weights!$H:$H,Weights!$C:$C,$F61))</f>
        <v/>
      </c>
      <c r="J61" s="4" t="str">
        <f>IF($D61="","",SUMIFS(Weights!$I:$I,Weights!$C:$C,$F61))</f>
        <v/>
      </c>
      <c r="K61" s="4" t="str">
        <f>IF($D61="","",SUMIFS(Weights!$J:$J,Weights!$C:$C,$F61))</f>
        <v/>
      </c>
      <c r="L61" s="4" t="str">
        <f>IF($D61="","",SUMIFS(Weights!$K:$K,Weights!$C:$C,$F61))</f>
        <v/>
      </c>
      <c r="M61" s="4" t="str">
        <f>IF($D61="","",SUMIFS(Weights!$L:$L,Weights!$C:$C,$F61))</f>
        <v/>
      </c>
      <c r="N61" s="4" t="str">
        <f>IF($D61="","",SUMIFS(Weights!$M:$M,Weights!$C:$C,$F61))</f>
        <v/>
      </c>
      <c r="O61" s="4" t="str">
        <f>IF($D61="","",SUMIFS(Weights!$N:$N,Weights!$C:$C,$F61))</f>
        <v/>
      </c>
      <c r="P61" s="4" t="str">
        <f>IF($D61="","",SUMIFS(Weights!$O:$O,Weights!$C:$C,$F61))</f>
        <v/>
      </c>
      <c r="Q61" s="4" t="str">
        <f>IF($D61="","",SUMIFS(Weights!$P:$P,Weights!$C:$C,$F61))</f>
        <v/>
      </c>
      <c r="R61" s="4" t="str">
        <f>IF($D61="","",SUMIFS(Weights!$Q:$Q,Weights!$C:$C,$F61))</f>
        <v/>
      </c>
      <c r="S61" s="4" t="str">
        <f>IF($D61="","",SUMIFS(Weights!$R:$R,Weights!$C:$C,$F61))</f>
        <v/>
      </c>
      <c r="T61" s="4" t="str">
        <f>IF($D61="","",SUMIFS(Weights!$S:$S,Weights!$C:$C,$F61))</f>
        <v/>
      </c>
      <c r="U61" s="4" t="str">
        <f>IF($D61="","",SUMIFS(Weights!$T:$T,Weights!$C:$C,$F61))</f>
        <v/>
      </c>
      <c r="V61" s="4" t="str">
        <f>IF($D61="","",SUMIFS(Weights!$U:$U,Weights!$C:$C,$F61))</f>
        <v/>
      </c>
      <c r="W61" s="4" t="str">
        <f>IF($D61="","",SUMIFS(Weights!$V:$V,Weights!$C:$C,$F61))</f>
        <v/>
      </c>
      <c r="X61" s="4" t="str">
        <f>IF($D61="","",SUMIFS(Weights!$W:$W,Weights!$C:$C,$F61))</f>
        <v/>
      </c>
      <c r="Y61" s="4" t="str">
        <f>IF($D61="","",SUMIFS(Weights!$X:$X,Weights!$C:$C,$F61))</f>
        <v/>
      </c>
      <c r="Z61" s="4" t="str">
        <f>IF($D61="","",SUMIFS(Weights!$Y:$Y,Weights!$C:$C,$F61))</f>
        <v/>
      </c>
      <c r="AA61" s="4" t="str">
        <f>IF($D61="","",SUMIFS(Weights!$Z:$Z,Weights!$C:$C,$F61))</f>
        <v/>
      </c>
      <c r="AB61" s="4" t="str">
        <f>IF($D61="","",SUMIFS(Weights!$AA:$AA,Weights!$C:$C,$F61))</f>
        <v/>
      </c>
      <c r="AC61" s="4" t="str">
        <f>IF($D61="","",SUMIFS(Weights!$AB:$AB,Weights!$C:$C,$F61))</f>
        <v/>
      </c>
      <c r="AD61" s="4" t="str">
        <f>IF($D61="","",SUMIFS(Weights!$AC:$AC,Weights!$C:$C,$F61))</f>
        <v/>
      </c>
      <c r="AE61" s="4" t="str">
        <f>IF($D61="","",SUMIFS(Weights!$AD:$AD,Weights!$C:$C,$F61))</f>
        <v/>
      </c>
      <c r="AF61" s="4" t="str">
        <f>IF($D61="","",SUMIFS(Weights!$AE:$AE,Weights!$C:$C,$F61))</f>
        <v/>
      </c>
      <c r="AG61" s="4" t="str">
        <f>IF($D61="","",SUMIFS(Weights!$AF:$AF,Weights!$C:$C,$F61))</f>
        <v/>
      </c>
      <c r="AH61" s="4" t="str">
        <f>IF($D61="","",SUMIFS(Weights!$AG:$AG,Weights!$C:$C,$F61))</f>
        <v/>
      </c>
      <c r="AI61" s="4" t="str">
        <f>IF($D61="","",SUMIFS(Weights!$AH:$AH,Weights!$C:$C,$F61))</f>
        <v/>
      </c>
      <c r="AJ61" s="4" t="str">
        <f>IF($D61="","",SUMIFS(Weights!$AI:$AI,Weights!$C:$C,$F61))</f>
        <v/>
      </c>
      <c r="AK61" s="4" t="str">
        <f>IF($D61="","",SUMIFS(Weights!$AJ:$AJ,Weights!$C:$C,$F61))</f>
        <v/>
      </c>
      <c r="AL61" s="4" t="str">
        <f>IF($D61="","",SUMIFS(Weights!$AK:$AK,Weights!$C:$C,$F61))</f>
        <v/>
      </c>
      <c r="AM61" s="4" t="str">
        <f>IF($D61="","",SUMIFS(Weights!$AL:$AL,Weights!$C:$C,$F61))</f>
        <v/>
      </c>
    </row>
    <row r="62" spans="1:39" ht="30" x14ac:dyDescent="0.25">
      <c r="A62" s="4">
        <v>61</v>
      </c>
      <c r="B62" s="4" t="s">
        <v>304</v>
      </c>
      <c r="C62" s="4" t="s">
        <v>310</v>
      </c>
      <c r="D62" s="5" t="s">
        <v>878</v>
      </c>
      <c r="E62" s="4" t="str">
        <f>IF(D62="","",INDEX(Questions!$D$2:$G$81,MATCH(A62,Questions!$A$2:$A$81,0),MATCH(D62,{"A","B","C","D"},0)))</f>
        <v/>
      </c>
      <c r="F62" s="4" t="str">
        <f t="shared" si="1"/>
        <v>61|</v>
      </c>
      <c r="G62" s="4" t="str">
        <f>IF($D62="","",SUMIFS(Weights!$F:$F,Weights!$C:$C,$F62))</f>
        <v/>
      </c>
      <c r="H62" s="4" t="str">
        <f>IF($D62="","",SUMIFS(Weights!$G:$G,Weights!$C:$C,$F62))</f>
        <v/>
      </c>
      <c r="I62" s="4" t="str">
        <f>IF($D62="","",SUMIFS(Weights!$H:$H,Weights!$C:$C,$F62))</f>
        <v/>
      </c>
      <c r="J62" s="4" t="str">
        <f>IF($D62="","",SUMIFS(Weights!$I:$I,Weights!$C:$C,$F62))</f>
        <v/>
      </c>
      <c r="K62" s="4" t="str">
        <f>IF($D62="","",SUMIFS(Weights!$J:$J,Weights!$C:$C,$F62))</f>
        <v/>
      </c>
      <c r="L62" s="4" t="str">
        <f>IF($D62="","",SUMIFS(Weights!$K:$K,Weights!$C:$C,$F62))</f>
        <v/>
      </c>
      <c r="M62" s="4" t="str">
        <f>IF($D62="","",SUMIFS(Weights!$L:$L,Weights!$C:$C,$F62))</f>
        <v/>
      </c>
      <c r="N62" s="4" t="str">
        <f>IF($D62="","",SUMIFS(Weights!$M:$M,Weights!$C:$C,$F62))</f>
        <v/>
      </c>
      <c r="O62" s="4" t="str">
        <f>IF($D62="","",SUMIFS(Weights!$N:$N,Weights!$C:$C,$F62))</f>
        <v/>
      </c>
      <c r="P62" s="4" t="str">
        <f>IF($D62="","",SUMIFS(Weights!$O:$O,Weights!$C:$C,$F62))</f>
        <v/>
      </c>
      <c r="Q62" s="4" t="str">
        <f>IF($D62="","",SUMIFS(Weights!$P:$P,Weights!$C:$C,$F62))</f>
        <v/>
      </c>
      <c r="R62" s="4" t="str">
        <f>IF($D62="","",SUMIFS(Weights!$Q:$Q,Weights!$C:$C,$F62))</f>
        <v/>
      </c>
      <c r="S62" s="4" t="str">
        <f>IF($D62="","",SUMIFS(Weights!$R:$R,Weights!$C:$C,$F62))</f>
        <v/>
      </c>
      <c r="T62" s="4" t="str">
        <f>IF($D62="","",SUMIFS(Weights!$S:$S,Weights!$C:$C,$F62))</f>
        <v/>
      </c>
      <c r="U62" s="4" t="str">
        <f>IF($D62="","",SUMIFS(Weights!$T:$T,Weights!$C:$C,$F62))</f>
        <v/>
      </c>
      <c r="V62" s="4" t="str">
        <f>IF($D62="","",SUMIFS(Weights!$U:$U,Weights!$C:$C,$F62))</f>
        <v/>
      </c>
      <c r="W62" s="4" t="str">
        <f>IF($D62="","",SUMIFS(Weights!$V:$V,Weights!$C:$C,$F62))</f>
        <v/>
      </c>
      <c r="X62" s="4" t="str">
        <f>IF($D62="","",SUMIFS(Weights!$W:$W,Weights!$C:$C,$F62))</f>
        <v/>
      </c>
      <c r="Y62" s="4" t="str">
        <f>IF($D62="","",SUMIFS(Weights!$X:$X,Weights!$C:$C,$F62))</f>
        <v/>
      </c>
      <c r="Z62" s="4" t="str">
        <f>IF($D62="","",SUMIFS(Weights!$Y:$Y,Weights!$C:$C,$F62))</f>
        <v/>
      </c>
      <c r="AA62" s="4" t="str">
        <f>IF($D62="","",SUMIFS(Weights!$Z:$Z,Weights!$C:$C,$F62))</f>
        <v/>
      </c>
      <c r="AB62" s="4" t="str">
        <f>IF($D62="","",SUMIFS(Weights!$AA:$AA,Weights!$C:$C,$F62))</f>
        <v/>
      </c>
      <c r="AC62" s="4" t="str">
        <f>IF($D62="","",SUMIFS(Weights!$AB:$AB,Weights!$C:$C,$F62))</f>
        <v/>
      </c>
      <c r="AD62" s="4" t="str">
        <f>IF($D62="","",SUMIFS(Weights!$AC:$AC,Weights!$C:$C,$F62))</f>
        <v/>
      </c>
      <c r="AE62" s="4" t="str">
        <f>IF($D62="","",SUMIFS(Weights!$AD:$AD,Weights!$C:$C,$F62))</f>
        <v/>
      </c>
      <c r="AF62" s="4" t="str">
        <f>IF($D62="","",SUMIFS(Weights!$AE:$AE,Weights!$C:$C,$F62))</f>
        <v/>
      </c>
      <c r="AG62" s="4" t="str">
        <f>IF($D62="","",SUMIFS(Weights!$AF:$AF,Weights!$C:$C,$F62))</f>
        <v/>
      </c>
      <c r="AH62" s="4" t="str">
        <f>IF($D62="","",SUMIFS(Weights!$AG:$AG,Weights!$C:$C,$F62))</f>
        <v/>
      </c>
      <c r="AI62" s="4" t="str">
        <f>IF($D62="","",SUMIFS(Weights!$AH:$AH,Weights!$C:$C,$F62))</f>
        <v/>
      </c>
      <c r="AJ62" s="4" t="str">
        <f>IF($D62="","",SUMIFS(Weights!$AI:$AI,Weights!$C:$C,$F62))</f>
        <v/>
      </c>
      <c r="AK62" s="4" t="str">
        <f>IF($D62="","",SUMIFS(Weights!$AJ:$AJ,Weights!$C:$C,$F62))</f>
        <v/>
      </c>
      <c r="AL62" s="4" t="str">
        <f>IF($D62="","",SUMIFS(Weights!$AK:$AK,Weights!$C:$C,$F62))</f>
        <v/>
      </c>
      <c r="AM62" s="4" t="str">
        <f>IF($D62="","",SUMIFS(Weights!$AL:$AL,Weights!$C:$C,$F62))</f>
        <v/>
      </c>
    </row>
    <row r="63" spans="1:39" ht="30" x14ac:dyDescent="0.25">
      <c r="A63" s="4">
        <v>62</v>
      </c>
      <c r="B63" s="4" t="s">
        <v>304</v>
      </c>
      <c r="C63" s="4" t="s">
        <v>315</v>
      </c>
      <c r="D63" s="5" t="s">
        <v>878</v>
      </c>
      <c r="E63" s="4" t="str">
        <f>IF(D63="","",INDEX(Questions!$D$2:$G$81,MATCH(A63,Questions!$A$2:$A$81,0),MATCH(D63,{"A","B","C","D"},0)))</f>
        <v/>
      </c>
      <c r="F63" s="4" t="str">
        <f t="shared" si="1"/>
        <v>62|</v>
      </c>
      <c r="G63" s="4" t="str">
        <f>IF($D63="","",SUMIFS(Weights!$F:$F,Weights!$C:$C,$F63))</f>
        <v/>
      </c>
      <c r="H63" s="4" t="str">
        <f>IF($D63="","",SUMIFS(Weights!$G:$G,Weights!$C:$C,$F63))</f>
        <v/>
      </c>
      <c r="I63" s="4" t="str">
        <f>IF($D63="","",SUMIFS(Weights!$H:$H,Weights!$C:$C,$F63))</f>
        <v/>
      </c>
      <c r="J63" s="4" t="str">
        <f>IF($D63="","",SUMIFS(Weights!$I:$I,Weights!$C:$C,$F63))</f>
        <v/>
      </c>
      <c r="K63" s="4" t="str">
        <f>IF($D63="","",SUMIFS(Weights!$J:$J,Weights!$C:$C,$F63))</f>
        <v/>
      </c>
      <c r="L63" s="4" t="str">
        <f>IF($D63="","",SUMIFS(Weights!$K:$K,Weights!$C:$C,$F63))</f>
        <v/>
      </c>
      <c r="M63" s="4" t="str">
        <f>IF($D63="","",SUMIFS(Weights!$L:$L,Weights!$C:$C,$F63))</f>
        <v/>
      </c>
      <c r="N63" s="4" t="str">
        <f>IF($D63="","",SUMIFS(Weights!$M:$M,Weights!$C:$C,$F63))</f>
        <v/>
      </c>
      <c r="O63" s="4" t="str">
        <f>IF($D63="","",SUMIFS(Weights!$N:$N,Weights!$C:$C,$F63))</f>
        <v/>
      </c>
      <c r="P63" s="4" t="str">
        <f>IF($D63="","",SUMIFS(Weights!$O:$O,Weights!$C:$C,$F63))</f>
        <v/>
      </c>
      <c r="Q63" s="4" t="str">
        <f>IF($D63="","",SUMIFS(Weights!$P:$P,Weights!$C:$C,$F63))</f>
        <v/>
      </c>
      <c r="R63" s="4" t="str">
        <f>IF($D63="","",SUMIFS(Weights!$Q:$Q,Weights!$C:$C,$F63))</f>
        <v/>
      </c>
      <c r="S63" s="4" t="str">
        <f>IF($D63="","",SUMIFS(Weights!$R:$R,Weights!$C:$C,$F63))</f>
        <v/>
      </c>
      <c r="T63" s="4" t="str">
        <f>IF($D63="","",SUMIFS(Weights!$S:$S,Weights!$C:$C,$F63))</f>
        <v/>
      </c>
      <c r="U63" s="4" t="str">
        <f>IF($D63="","",SUMIFS(Weights!$T:$T,Weights!$C:$C,$F63))</f>
        <v/>
      </c>
      <c r="V63" s="4" t="str">
        <f>IF($D63="","",SUMIFS(Weights!$U:$U,Weights!$C:$C,$F63))</f>
        <v/>
      </c>
      <c r="W63" s="4" t="str">
        <f>IF($D63="","",SUMIFS(Weights!$V:$V,Weights!$C:$C,$F63))</f>
        <v/>
      </c>
      <c r="X63" s="4" t="str">
        <f>IF($D63="","",SUMIFS(Weights!$W:$W,Weights!$C:$C,$F63))</f>
        <v/>
      </c>
      <c r="Y63" s="4" t="str">
        <f>IF($D63="","",SUMIFS(Weights!$X:$X,Weights!$C:$C,$F63))</f>
        <v/>
      </c>
      <c r="Z63" s="4" t="str">
        <f>IF($D63="","",SUMIFS(Weights!$Y:$Y,Weights!$C:$C,$F63))</f>
        <v/>
      </c>
      <c r="AA63" s="4" t="str">
        <f>IF($D63="","",SUMIFS(Weights!$Z:$Z,Weights!$C:$C,$F63))</f>
        <v/>
      </c>
      <c r="AB63" s="4" t="str">
        <f>IF($D63="","",SUMIFS(Weights!$AA:$AA,Weights!$C:$C,$F63))</f>
        <v/>
      </c>
      <c r="AC63" s="4" t="str">
        <f>IF($D63="","",SUMIFS(Weights!$AB:$AB,Weights!$C:$C,$F63))</f>
        <v/>
      </c>
      <c r="AD63" s="4" t="str">
        <f>IF($D63="","",SUMIFS(Weights!$AC:$AC,Weights!$C:$C,$F63))</f>
        <v/>
      </c>
      <c r="AE63" s="4" t="str">
        <f>IF($D63="","",SUMIFS(Weights!$AD:$AD,Weights!$C:$C,$F63))</f>
        <v/>
      </c>
      <c r="AF63" s="4" t="str">
        <f>IF($D63="","",SUMIFS(Weights!$AE:$AE,Weights!$C:$C,$F63))</f>
        <v/>
      </c>
      <c r="AG63" s="4" t="str">
        <f>IF($D63="","",SUMIFS(Weights!$AF:$AF,Weights!$C:$C,$F63))</f>
        <v/>
      </c>
      <c r="AH63" s="4" t="str">
        <f>IF($D63="","",SUMIFS(Weights!$AG:$AG,Weights!$C:$C,$F63))</f>
        <v/>
      </c>
      <c r="AI63" s="4" t="str">
        <f>IF($D63="","",SUMIFS(Weights!$AH:$AH,Weights!$C:$C,$F63))</f>
        <v/>
      </c>
      <c r="AJ63" s="4" t="str">
        <f>IF($D63="","",SUMIFS(Weights!$AI:$AI,Weights!$C:$C,$F63))</f>
        <v/>
      </c>
      <c r="AK63" s="4" t="str">
        <f>IF($D63="","",SUMIFS(Weights!$AJ:$AJ,Weights!$C:$C,$F63))</f>
        <v/>
      </c>
      <c r="AL63" s="4" t="str">
        <f>IF($D63="","",SUMIFS(Weights!$AK:$AK,Weights!$C:$C,$F63))</f>
        <v/>
      </c>
      <c r="AM63" s="4" t="str">
        <f>IF($D63="","",SUMIFS(Weights!$AL:$AL,Weights!$C:$C,$F63))</f>
        <v/>
      </c>
    </row>
    <row r="64" spans="1:39" ht="30" x14ac:dyDescent="0.25">
      <c r="A64" s="4">
        <v>63</v>
      </c>
      <c r="B64" s="4" t="s">
        <v>304</v>
      </c>
      <c r="C64" s="4" t="s">
        <v>320</v>
      </c>
      <c r="D64" s="5" t="s">
        <v>878</v>
      </c>
      <c r="E64" s="4" t="str">
        <f>IF(D64="","",INDEX(Questions!$D$2:$G$81,MATCH(A64,Questions!$A$2:$A$81,0),MATCH(D64,{"A","B","C","D"},0)))</f>
        <v/>
      </c>
      <c r="F64" s="4" t="str">
        <f t="shared" si="1"/>
        <v>63|</v>
      </c>
      <c r="G64" s="4" t="str">
        <f>IF($D64="","",SUMIFS(Weights!$F:$F,Weights!$C:$C,$F64))</f>
        <v/>
      </c>
      <c r="H64" s="4" t="str">
        <f>IF($D64="","",SUMIFS(Weights!$G:$G,Weights!$C:$C,$F64))</f>
        <v/>
      </c>
      <c r="I64" s="4" t="str">
        <f>IF($D64="","",SUMIFS(Weights!$H:$H,Weights!$C:$C,$F64))</f>
        <v/>
      </c>
      <c r="J64" s="4" t="str">
        <f>IF($D64="","",SUMIFS(Weights!$I:$I,Weights!$C:$C,$F64))</f>
        <v/>
      </c>
      <c r="K64" s="4" t="str">
        <f>IF($D64="","",SUMIFS(Weights!$J:$J,Weights!$C:$C,$F64))</f>
        <v/>
      </c>
      <c r="L64" s="4" t="str">
        <f>IF($D64="","",SUMIFS(Weights!$K:$K,Weights!$C:$C,$F64))</f>
        <v/>
      </c>
      <c r="M64" s="4" t="str">
        <f>IF($D64="","",SUMIFS(Weights!$L:$L,Weights!$C:$C,$F64))</f>
        <v/>
      </c>
      <c r="N64" s="4" t="str">
        <f>IF($D64="","",SUMIFS(Weights!$M:$M,Weights!$C:$C,$F64))</f>
        <v/>
      </c>
      <c r="O64" s="4" t="str">
        <f>IF($D64="","",SUMIFS(Weights!$N:$N,Weights!$C:$C,$F64))</f>
        <v/>
      </c>
      <c r="P64" s="4" t="str">
        <f>IF($D64="","",SUMIFS(Weights!$O:$O,Weights!$C:$C,$F64))</f>
        <v/>
      </c>
      <c r="Q64" s="4" t="str">
        <f>IF($D64="","",SUMIFS(Weights!$P:$P,Weights!$C:$C,$F64))</f>
        <v/>
      </c>
      <c r="R64" s="4" t="str">
        <f>IF($D64="","",SUMIFS(Weights!$Q:$Q,Weights!$C:$C,$F64))</f>
        <v/>
      </c>
      <c r="S64" s="4" t="str">
        <f>IF($D64="","",SUMIFS(Weights!$R:$R,Weights!$C:$C,$F64))</f>
        <v/>
      </c>
      <c r="T64" s="4" t="str">
        <f>IF($D64="","",SUMIFS(Weights!$S:$S,Weights!$C:$C,$F64))</f>
        <v/>
      </c>
      <c r="U64" s="4" t="str">
        <f>IF($D64="","",SUMIFS(Weights!$T:$T,Weights!$C:$C,$F64))</f>
        <v/>
      </c>
      <c r="V64" s="4" t="str">
        <f>IF($D64="","",SUMIFS(Weights!$U:$U,Weights!$C:$C,$F64))</f>
        <v/>
      </c>
      <c r="W64" s="4" t="str">
        <f>IF($D64="","",SUMIFS(Weights!$V:$V,Weights!$C:$C,$F64))</f>
        <v/>
      </c>
      <c r="X64" s="4" t="str">
        <f>IF($D64="","",SUMIFS(Weights!$W:$W,Weights!$C:$C,$F64))</f>
        <v/>
      </c>
      <c r="Y64" s="4" t="str">
        <f>IF($D64="","",SUMIFS(Weights!$X:$X,Weights!$C:$C,$F64))</f>
        <v/>
      </c>
      <c r="Z64" s="4" t="str">
        <f>IF($D64="","",SUMIFS(Weights!$Y:$Y,Weights!$C:$C,$F64))</f>
        <v/>
      </c>
      <c r="AA64" s="4" t="str">
        <f>IF($D64="","",SUMIFS(Weights!$Z:$Z,Weights!$C:$C,$F64))</f>
        <v/>
      </c>
      <c r="AB64" s="4" t="str">
        <f>IF($D64="","",SUMIFS(Weights!$AA:$AA,Weights!$C:$C,$F64))</f>
        <v/>
      </c>
      <c r="AC64" s="4" t="str">
        <f>IF($D64="","",SUMIFS(Weights!$AB:$AB,Weights!$C:$C,$F64))</f>
        <v/>
      </c>
      <c r="AD64" s="4" t="str">
        <f>IF($D64="","",SUMIFS(Weights!$AC:$AC,Weights!$C:$C,$F64))</f>
        <v/>
      </c>
      <c r="AE64" s="4" t="str">
        <f>IF($D64="","",SUMIFS(Weights!$AD:$AD,Weights!$C:$C,$F64))</f>
        <v/>
      </c>
      <c r="AF64" s="4" t="str">
        <f>IF($D64="","",SUMIFS(Weights!$AE:$AE,Weights!$C:$C,$F64))</f>
        <v/>
      </c>
      <c r="AG64" s="4" t="str">
        <f>IF($D64="","",SUMIFS(Weights!$AF:$AF,Weights!$C:$C,$F64))</f>
        <v/>
      </c>
      <c r="AH64" s="4" t="str">
        <f>IF($D64="","",SUMIFS(Weights!$AG:$AG,Weights!$C:$C,$F64))</f>
        <v/>
      </c>
      <c r="AI64" s="4" t="str">
        <f>IF($D64="","",SUMIFS(Weights!$AH:$AH,Weights!$C:$C,$F64))</f>
        <v/>
      </c>
      <c r="AJ64" s="4" t="str">
        <f>IF($D64="","",SUMIFS(Weights!$AI:$AI,Weights!$C:$C,$F64))</f>
        <v/>
      </c>
      <c r="AK64" s="4" t="str">
        <f>IF($D64="","",SUMIFS(Weights!$AJ:$AJ,Weights!$C:$C,$F64))</f>
        <v/>
      </c>
      <c r="AL64" s="4" t="str">
        <f>IF($D64="","",SUMIFS(Weights!$AK:$AK,Weights!$C:$C,$F64))</f>
        <v/>
      </c>
      <c r="AM64" s="4" t="str">
        <f>IF($D64="","",SUMIFS(Weights!$AL:$AL,Weights!$C:$C,$F64))</f>
        <v/>
      </c>
    </row>
    <row r="65" spans="1:39" ht="30" x14ac:dyDescent="0.25">
      <c r="A65" s="4">
        <v>64</v>
      </c>
      <c r="B65" s="4" t="s">
        <v>304</v>
      </c>
      <c r="C65" s="4" t="s">
        <v>325</v>
      </c>
      <c r="D65" s="5" t="s">
        <v>878</v>
      </c>
      <c r="E65" s="4" t="str">
        <f>IF(D65="","",INDEX(Questions!$D$2:$G$81,MATCH(A65,Questions!$A$2:$A$81,0),MATCH(D65,{"A","B","C","D"},0)))</f>
        <v/>
      </c>
      <c r="F65" s="4" t="str">
        <f t="shared" si="1"/>
        <v>64|</v>
      </c>
      <c r="G65" s="4" t="str">
        <f>IF($D65="","",SUMIFS(Weights!$F:$F,Weights!$C:$C,$F65))</f>
        <v/>
      </c>
      <c r="H65" s="4" t="str">
        <f>IF($D65="","",SUMIFS(Weights!$G:$G,Weights!$C:$C,$F65))</f>
        <v/>
      </c>
      <c r="I65" s="4" t="str">
        <f>IF($D65="","",SUMIFS(Weights!$H:$H,Weights!$C:$C,$F65))</f>
        <v/>
      </c>
      <c r="J65" s="4" t="str">
        <f>IF($D65="","",SUMIFS(Weights!$I:$I,Weights!$C:$C,$F65))</f>
        <v/>
      </c>
      <c r="K65" s="4" t="str">
        <f>IF($D65="","",SUMIFS(Weights!$J:$J,Weights!$C:$C,$F65))</f>
        <v/>
      </c>
      <c r="L65" s="4" t="str">
        <f>IF($D65="","",SUMIFS(Weights!$K:$K,Weights!$C:$C,$F65))</f>
        <v/>
      </c>
      <c r="M65" s="4" t="str">
        <f>IF($D65="","",SUMIFS(Weights!$L:$L,Weights!$C:$C,$F65))</f>
        <v/>
      </c>
      <c r="N65" s="4" t="str">
        <f>IF($D65="","",SUMIFS(Weights!$M:$M,Weights!$C:$C,$F65))</f>
        <v/>
      </c>
      <c r="O65" s="4" t="str">
        <f>IF($D65="","",SUMIFS(Weights!$N:$N,Weights!$C:$C,$F65))</f>
        <v/>
      </c>
      <c r="P65" s="4" t="str">
        <f>IF($D65="","",SUMIFS(Weights!$O:$O,Weights!$C:$C,$F65))</f>
        <v/>
      </c>
      <c r="Q65" s="4" t="str">
        <f>IF($D65="","",SUMIFS(Weights!$P:$P,Weights!$C:$C,$F65))</f>
        <v/>
      </c>
      <c r="R65" s="4" t="str">
        <f>IF($D65="","",SUMIFS(Weights!$Q:$Q,Weights!$C:$C,$F65))</f>
        <v/>
      </c>
      <c r="S65" s="4" t="str">
        <f>IF($D65="","",SUMIFS(Weights!$R:$R,Weights!$C:$C,$F65))</f>
        <v/>
      </c>
      <c r="T65" s="4" t="str">
        <f>IF($D65="","",SUMIFS(Weights!$S:$S,Weights!$C:$C,$F65))</f>
        <v/>
      </c>
      <c r="U65" s="4" t="str">
        <f>IF($D65="","",SUMIFS(Weights!$T:$T,Weights!$C:$C,$F65))</f>
        <v/>
      </c>
      <c r="V65" s="4" t="str">
        <f>IF($D65="","",SUMIFS(Weights!$U:$U,Weights!$C:$C,$F65))</f>
        <v/>
      </c>
      <c r="W65" s="4" t="str">
        <f>IF($D65="","",SUMIFS(Weights!$V:$V,Weights!$C:$C,$F65))</f>
        <v/>
      </c>
      <c r="X65" s="4" t="str">
        <f>IF($D65="","",SUMIFS(Weights!$W:$W,Weights!$C:$C,$F65))</f>
        <v/>
      </c>
      <c r="Y65" s="4" t="str">
        <f>IF($D65="","",SUMIFS(Weights!$X:$X,Weights!$C:$C,$F65))</f>
        <v/>
      </c>
      <c r="Z65" s="4" t="str">
        <f>IF($D65="","",SUMIFS(Weights!$Y:$Y,Weights!$C:$C,$F65))</f>
        <v/>
      </c>
      <c r="AA65" s="4" t="str">
        <f>IF($D65="","",SUMIFS(Weights!$Z:$Z,Weights!$C:$C,$F65))</f>
        <v/>
      </c>
      <c r="AB65" s="4" t="str">
        <f>IF($D65="","",SUMIFS(Weights!$AA:$AA,Weights!$C:$C,$F65))</f>
        <v/>
      </c>
      <c r="AC65" s="4" t="str">
        <f>IF($D65="","",SUMIFS(Weights!$AB:$AB,Weights!$C:$C,$F65))</f>
        <v/>
      </c>
      <c r="AD65" s="4" t="str">
        <f>IF($D65="","",SUMIFS(Weights!$AC:$AC,Weights!$C:$C,$F65))</f>
        <v/>
      </c>
      <c r="AE65" s="4" t="str">
        <f>IF($D65="","",SUMIFS(Weights!$AD:$AD,Weights!$C:$C,$F65))</f>
        <v/>
      </c>
      <c r="AF65" s="4" t="str">
        <f>IF($D65="","",SUMIFS(Weights!$AE:$AE,Weights!$C:$C,$F65))</f>
        <v/>
      </c>
      <c r="AG65" s="4" t="str">
        <f>IF($D65="","",SUMIFS(Weights!$AF:$AF,Weights!$C:$C,$F65))</f>
        <v/>
      </c>
      <c r="AH65" s="4" t="str">
        <f>IF($D65="","",SUMIFS(Weights!$AG:$AG,Weights!$C:$C,$F65))</f>
        <v/>
      </c>
      <c r="AI65" s="4" t="str">
        <f>IF($D65="","",SUMIFS(Weights!$AH:$AH,Weights!$C:$C,$F65))</f>
        <v/>
      </c>
      <c r="AJ65" s="4" t="str">
        <f>IF($D65="","",SUMIFS(Weights!$AI:$AI,Weights!$C:$C,$F65))</f>
        <v/>
      </c>
      <c r="AK65" s="4" t="str">
        <f>IF($D65="","",SUMIFS(Weights!$AJ:$AJ,Weights!$C:$C,$F65))</f>
        <v/>
      </c>
      <c r="AL65" s="4" t="str">
        <f>IF($D65="","",SUMIFS(Weights!$AK:$AK,Weights!$C:$C,$F65))</f>
        <v/>
      </c>
      <c r="AM65" s="4" t="str">
        <f>IF($D65="","",SUMIFS(Weights!$AL:$AL,Weights!$C:$C,$F65))</f>
        <v/>
      </c>
    </row>
    <row r="66" spans="1:39" ht="30" x14ac:dyDescent="0.25">
      <c r="A66" s="4">
        <v>65</v>
      </c>
      <c r="B66" s="4" t="s">
        <v>304</v>
      </c>
      <c r="C66" s="4" t="s">
        <v>330</v>
      </c>
      <c r="D66" s="5" t="s">
        <v>878</v>
      </c>
      <c r="E66" s="4" t="str">
        <f>IF(D66="","",INDEX(Questions!$D$2:$G$81,MATCH(A66,Questions!$A$2:$A$81,0),MATCH(D66,{"A","B","C","D"},0)))</f>
        <v/>
      </c>
      <c r="F66" s="4" t="str">
        <f t="shared" ref="F66:F81" si="2">A66&amp;"|"&amp;D66</f>
        <v>65|</v>
      </c>
      <c r="G66" s="4" t="str">
        <f>IF($D66="","",SUMIFS(Weights!$F:$F,Weights!$C:$C,$F66))</f>
        <v/>
      </c>
      <c r="H66" s="4" t="str">
        <f>IF($D66="","",SUMIFS(Weights!$G:$G,Weights!$C:$C,$F66))</f>
        <v/>
      </c>
      <c r="I66" s="4" t="str">
        <f>IF($D66="","",SUMIFS(Weights!$H:$H,Weights!$C:$C,$F66))</f>
        <v/>
      </c>
      <c r="J66" s="4" t="str">
        <f>IF($D66="","",SUMIFS(Weights!$I:$I,Weights!$C:$C,$F66))</f>
        <v/>
      </c>
      <c r="K66" s="4" t="str">
        <f>IF($D66="","",SUMIFS(Weights!$J:$J,Weights!$C:$C,$F66))</f>
        <v/>
      </c>
      <c r="L66" s="4" t="str">
        <f>IF($D66="","",SUMIFS(Weights!$K:$K,Weights!$C:$C,$F66))</f>
        <v/>
      </c>
      <c r="M66" s="4" t="str">
        <f>IF($D66="","",SUMIFS(Weights!$L:$L,Weights!$C:$C,$F66))</f>
        <v/>
      </c>
      <c r="N66" s="4" t="str">
        <f>IF($D66="","",SUMIFS(Weights!$M:$M,Weights!$C:$C,$F66))</f>
        <v/>
      </c>
      <c r="O66" s="4" t="str">
        <f>IF($D66="","",SUMIFS(Weights!$N:$N,Weights!$C:$C,$F66))</f>
        <v/>
      </c>
      <c r="P66" s="4" t="str">
        <f>IF($D66="","",SUMIFS(Weights!$O:$O,Weights!$C:$C,$F66))</f>
        <v/>
      </c>
      <c r="Q66" s="4" t="str">
        <f>IF($D66="","",SUMIFS(Weights!$P:$P,Weights!$C:$C,$F66))</f>
        <v/>
      </c>
      <c r="R66" s="4" t="str">
        <f>IF($D66="","",SUMIFS(Weights!$Q:$Q,Weights!$C:$C,$F66))</f>
        <v/>
      </c>
      <c r="S66" s="4" t="str">
        <f>IF($D66="","",SUMIFS(Weights!$R:$R,Weights!$C:$C,$F66))</f>
        <v/>
      </c>
      <c r="T66" s="4" t="str">
        <f>IF($D66="","",SUMIFS(Weights!$S:$S,Weights!$C:$C,$F66))</f>
        <v/>
      </c>
      <c r="U66" s="4" t="str">
        <f>IF($D66="","",SUMIFS(Weights!$T:$T,Weights!$C:$C,$F66))</f>
        <v/>
      </c>
      <c r="V66" s="4" t="str">
        <f>IF($D66="","",SUMIFS(Weights!$U:$U,Weights!$C:$C,$F66))</f>
        <v/>
      </c>
      <c r="W66" s="4" t="str">
        <f>IF($D66="","",SUMIFS(Weights!$V:$V,Weights!$C:$C,$F66))</f>
        <v/>
      </c>
      <c r="X66" s="4" t="str">
        <f>IF($D66="","",SUMIFS(Weights!$W:$W,Weights!$C:$C,$F66))</f>
        <v/>
      </c>
      <c r="Y66" s="4" t="str">
        <f>IF($D66="","",SUMIFS(Weights!$X:$X,Weights!$C:$C,$F66))</f>
        <v/>
      </c>
      <c r="Z66" s="4" t="str">
        <f>IF($D66="","",SUMIFS(Weights!$Y:$Y,Weights!$C:$C,$F66))</f>
        <v/>
      </c>
      <c r="AA66" s="4" t="str">
        <f>IF($D66="","",SUMIFS(Weights!$Z:$Z,Weights!$C:$C,$F66))</f>
        <v/>
      </c>
      <c r="AB66" s="4" t="str">
        <f>IF($D66="","",SUMIFS(Weights!$AA:$AA,Weights!$C:$C,$F66))</f>
        <v/>
      </c>
      <c r="AC66" s="4" t="str">
        <f>IF($D66="","",SUMIFS(Weights!$AB:$AB,Weights!$C:$C,$F66))</f>
        <v/>
      </c>
      <c r="AD66" s="4" t="str">
        <f>IF($D66="","",SUMIFS(Weights!$AC:$AC,Weights!$C:$C,$F66))</f>
        <v/>
      </c>
      <c r="AE66" s="4" t="str">
        <f>IF($D66="","",SUMIFS(Weights!$AD:$AD,Weights!$C:$C,$F66))</f>
        <v/>
      </c>
      <c r="AF66" s="4" t="str">
        <f>IF($D66="","",SUMIFS(Weights!$AE:$AE,Weights!$C:$C,$F66))</f>
        <v/>
      </c>
      <c r="AG66" s="4" t="str">
        <f>IF($D66="","",SUMIFS(Weights!$AF:$AF,Weights!$C:$C,$F66))</f>
        <v/>
      </c>
      <c r="AH66" s="4" t="str">
        <f>IF($D66="","",SUMIFS(Weights!$AG:$AG,Weights!$C:$C,$F66))</f>
        <v/>
      </c>
      <c r="AI66" s="4" t="str">
        <f>IF($D66="","",SUMIFS(Weights!$AH:$AH,Weights!$C:$C,$F66))</f>
        <v/>
      </c>
      <c r="AJ66" s="4" t="str">
        <f>IF($D66="","",SUMIFS(Weights!$AI:$AI,Weights!$C:$C,$F66))</f>
        <v/>
      </c>
      <c r="AK66" s="4" t="str">
        <f>IF($D66="","",SUMIFS(Weights!$AJ:$AJ,Weights!$C:$C,$F66))</f>
        <v/>
      </c>
      <c r="AL66" s="4" t="str">
        <f>IF($D66="","",SUMIFS(Weights!$AK:$AK,Weights!$C:$C,$F66))</f>
        <v/>
      </c>
      <c r="AM66" s="4" t="str">
        <f>IF($D66="","",SUMIFS(Weights!$AL:$AL,Weights!$C:$C,$F66))</f>
        <v/>
      </c>
    </row>
    <row r="67" spans="1:39" ht="30" x14ac:dyDescent="0.25">
      <c r="A67" s="4">
        <v>66</v>
      </c>
      <c r="B67" s="4" t="s">
        <v>304</v>
      </c>
      <c r="C67" s="4" t="s">
        <v>335</v>
      </c>
      <c r="D67" s="5" t="s">
        <v>878</v>
      </c>
      <c r="E67" s="4" t="str">
        <f>IF(D67="","",INDEX(Questions!$D$2:$G$81,MATCH(A67,Questions!$A$2:$A$81,0),MATCH(D67,{"A","B","C","D"},0)))</f>
        <v/>
      </c>
      <c r="F67" s="4" t="str">
        <f t="shared" si="2"/>
        <v>66|</v>
      </c>
      <c r="G67" s="4" t="str">
        <f>IF($D67="","",SUMIFS(Weights!$F:$F,Weights!$C:$C,$F67))</f>
        <v/>
      </c>
      <c r="H67" s="4" t="str">
        <f>IF($D67="","",SUMIFS(Weights!$G:$G,Weights!$C:$C,$F67))</f>
        <v/>
      </c>
      <c r="I67" s="4" t="str">
        <f>IF($D67="","",SUMIFS(Weights!$H:$H,Weights!$C:$C,$F67))</f>
        <v/>
      </c>
      <c r="J67" s="4" t="str">
        <f>IF($D67="","",SUMIFS(Weights!$I:$I,Weights!$C:$C,$F67))</f>
        <v/>
      </c>
      <c r="K67" s="4" t="str">
        <f>IF($D67="","",SUMIFS(Weights!$J:$J,Weights!$C:$C,$F67))</f>
        <v/>
      </c>
      <c r="L67" s="4" t="str">
        <f>IF($D67="","",SUMIFS(Weights!$K:$K,Weights!$C:$C,$F67))</f>
        <v/>
      </c>
      <c r="M67" s="4" t="str">
        <f>IF($D67="","",SUMIFS(Weights!$L:$L,Weights!$C:$C,$F67))</f>
        <v/>
      </c>
      <c r="N67" s="4" t="str">
        <f>IF($D67="","",SUMIFS(Weights!$M:$M,Weights!$C:$C,$F67))</f>
        <v/>
      </c>
      <c r="O67" s="4" t="str">
        <f>IF($D67="","",SUMIFS(Weights!$N:$N,Weights!$C:$C,$F67))</f>
        <v/>
      </c>
      <c r="P67" s="4" t="str">
        <f>IF($D67="","",SUMIFS(Weights!$O:$O,Weights!$C:$C,$F67))</f>
        <v/>
      </c>
      <c r="Q67" s="4" t="str">
        <f>IF($D67="","",SUMIFS(Weights!$P:$P,Weights!$C:$C,$F67))</f>
        <v/>
      </c>
      <c r="R67" s="4" t="str">
        <f>IF($D67="","",SUMIFS(Weights!$Q:$Q,Weights!$C:$C,$F67))</f>
        <v/>
      </c>
      <c r="S67" s="4" t="str">
        <f>IF($D67="","",SUMIFS(Weights!$R:$R,Weights!$C:$C,$F67))</f>
        <v/>
      </c>
      <c r="T67" s="4" t="str">
        <f>IF($D67="","",SUMIFS(Weights!$S:$S,Weights!$C:$C,$F67))</f>
        <v/>
      </c>
      <c r="U67" s="4" t="str">
        <f>IF($D67="","",SUMIFS(Weights!$T:$T,Weights!$C:$C,$F67))</f>
        <v/>
      </c>
      <c r="V67" s="4" t="str">
        <f>IF($D67="","",SUMIFS(Weights!$U:$U,Weights!$C:$C,$F67))</f>
        <v/>
      </c>
      <c r="W67" s="4" t="str">
        <f>IF($D67="","",SUMIFS(Weights!$V:$V,Weights!$C:$C,$F67))</f>
        <v/>
      </c>
      <c r="X67" s="4" t="str">
        <f>IF($D67="","",SUMIFS(Weights!$W:$W,Weights!$C:$C,$F67))</f>
        <v/>
      </c>
      <c r="Y67" s="4" t="str">
        <f>IF($D67="","",SUMIFS(Weights!$X:$X,Weights!$C:$C,$F67))</f>
        <v/>
      </c>
      <c r="Z67" s="4" t="str">
        <f>IF($D67="","",SUMIFS(Weights!$Y:$Y,Weights!$C:$C,$F67))</f>
        <v/>
      </c>
      <c r="AA67" s="4" t="str">
        <f>IF($D67="","",SUMIFS(Weights!$Z:$Z,Weights!$C:$C,$F67))</f>
        <v/>
      </c>
      <c r="AB67" s="4" t="str">
        <f>IF($D67="","",SUMIFS(Weights!$AA:$AA,Weights!$C:$C,$F67))</f>
        <v/>
      </c>
      <c r="AC67" s="4" t="str">
        <f>IF($D67="","",SUMIFS(Weights!$AB:$AB,Weights!$C:$C,$F67))</f>
        <v/>
      </c>
      <c r="AD67" s="4" t="str">
        <f>IF($D67="","",SUMIFS(Weights!$AC:$AC,Weights!$C:$C,$F67))</f>
        <v/>
      </c>
      <c r="AE67" s="4" t="str">
        <f>IF($D67="","",SUMIFS(Weights!$AD:$AD,Weights!$C:$C,$F67))</f>
        <v/>
      </c>
      <c r="AF67" s="4" t="str">
        <f>IF($D67="","",SUMIFS(Weights!$AE:$AE,Weights!$C:$C,$F67))</f>
        <v/>
      </c>
      <c r="AG67" s="4" t="str">
        <f>IF($D67="","",SUMIFS(Weights!$AF:$AF,Weights!$C:$C,$F67))</f>
        <v/>
      </c>
      <c r="AH67" s="4" t="str">
        <f>IF($D67="","",SUMIFS(Weights!$AG:$AG,Weights!$C:$C,$F67))</f>
        <v/>
      </c>
      <c r="AI67" s="4" t="str">
        <f>IF($D67="","",SUMIFS(Weights!$AH:$AH,Weights!$C:$C,$F67))</f>
        <v/>
      </c>
      <c r="AJ67" s="4" t="str">
        <f>IF($D67="","",SUMIFS(Weights!$AI:$AI,Weights!$C:$C,$F67))</f>
        <v/>
      </c>
      <c r="AK67" s="4" t="str">
        <f>IF($D67="","",SUMIFS(Weights!$AJ:$AJ,Weights!$C:$C,$F67))</f>
        <v/>
      </c>
      <c r="AL67" s="4" t="str">
        <f>IF($D67="","",SUMIFS(Weights!$AK:$AK,Weights!$C:$C,$F67))</f>
        <v/>
      </c>
      <c r="AM67" s="4" t="str">
        <f>IF($D67="","",SUMIFS(Weights!$AL:$AL,Weights!$C:$C,$F67))</f>
        <v/>
      </c>
    </row>
    <row r="68" spans="1:39" ht="30" x14ac:dyDescent="0.25">
      <c r="A68" s="4">
        <v>67</v>
      </c>
      <c r="B68" s="4" t="s">
        <v>304</v>
      </c>
      <c r="C68" s="4" t="s">
        <v>340</v>
      </c>
      <c r="D68" s="5" t="s">
        <v>878</v>
      </c>
      <c r="E68" s="4" t="str">
        <f>IF(D68="","",INDEX(Questions!$D$2:$G$81,MATCH(A68,Questions!$A$2:$A$81,0),MATCH(D68,{"A","B","C","D"},0)))</f>
        <v/>
      </c>
      <c r="F68" s="4" t="str">
        <f t="shared" si="2"/>
        <v>67|</v>
      </c>
      <c r="G68" s="4" t="str">
        <f>IF($D68="","",SUMIFS(Weights!$F:$F,Weights!$C:$C,$F68))</f>
        <v/>
      </c>
      <c r="H68" s="4" t="str">
        <f>IF($D68="","",SUMIFS(Weights!$G:$G,Weights!$C:$C,$F68))</f>
        <v/>
      </c>
      <c r="I68" s="4" t="str">
        <f>IF($D68="","",SUMIFS(Weights!$H:$H,Weights!$C:$C,$F68))</f>
        <v/>
      </c>
      <c r="J68" s="4" t="str">
        <f>IF($D68="","",SUMIFS(Weights!$I:$I,Weights!$C:$C,$F68))</f>
        <v/>
      </c>
      <c r="K68" s="4" t="str">
        <f>IF($D68="","",SUMIFS(Weights!$J:$J,Weights!$C:$C,$F68))</f>
        <v/>
      </c>
      <c r="L68" s="4" t="str">
        <f>IF($D68="","",SUMIFS(Weights!$K:$K,Weights!$C:$C,$F68))</f>
        <v/>
      </c>
      <c r="M68" s="4" t="str">
        <f>IF($D68="","",SUMIFS(Weights!$L:$L,Weights!$C:$C,$F68))</f>
        <v/>
      </c>
      <c r="N68" s="4" t="str">
        <f>IF($D68="","",SUMIFS(Weights!$M:$M,Weights!$C:$C,$F68))</f>
        <v/>
      </c>
      <c r="O68" s="4" t="str">
        <f>IF($D68="","",SUMIFS(Weights!$N:$N,Weights!$C:$C,$F68))</f>
        <v/>
      </c>
      <c r="P68" s="4" t="str">
        <f>IF($D68="","",SUMIFS(Weights!$O:$O,Weights!$C:$C,$F68))</f>
        <v/>
      </c>
      <c r="Q68" s="4" t="str">
        <f>IF($D68="","",SUMIFS(Weights!$P:$P,Weights!$C:$C,$F68))</f>
        <v/>
      </c>
      <c r="R68" s="4" t="str">
        <f>IF($D68="","",SUMIFS(Weights!$Q:$Q,Weights!$C:$C,$F68))</f>
        <v/>
      </c>
      <c r="S68" s="4" t="str">
        <f>IF($D68="","",SUMIFS(Weights!$R:$R,Weights!$C:$C,$F68))</f>
        <v/>
      </c>
      <c r="T68" s="4" t="str">
        <f>IF($D68="","",SUMIFS(Weights!$S:$S,Weights!$C:$C,$F68))</f>
        <v/>
      </c>
      <c r="U68" s="4" t="str">
        <f>IF($D68="","",SUMIFS(Weights!$T:$T,Weights!$C:$C,$F68))</f>
        <v/>
      </c>
      <c r="V68" s="4" t="str">
        <f>IF($D68="","",SUMIFS(Weights!$U:$U,Weights!$C:$C,$F68))</f>
        <v/>
      </c>
      <c r="W68" s="4" t="str">
        <f>IF($D68="","",SUMIFS(Weights!$V:$V,Weights!$C:$C,$F68))</f>
        <v/>
      </c>
      <c r="X68" s="4" t="str">
        <f>IF($D68="","",SUMIFS(Weights!$W:$W,Weights!$C:$C,$F68))</f>
        <v/>
      </c>
      <c r="Y68" s="4" t="str">
        <f>IF($D68="","",SUMIFS(Weights!$X:$X,Weights!$C:$C,$F68))</f>
        <v/>
      </c>
      <c r="Z68" s="4" t="str">
        <f>IF($D68="","",SUMIFS(Weights!$Y:$Y,Weights!$C:$C,$F68))</f>
        <v/>
      </c>
      <c r="AA68" s="4" t="str">
        <f>IF($D68="","",SUMIFS(Weights!$Z:$Z,Weights!$C:$C,$F68))</f>
        <v/>
      </c>
      <c r="AB68" s="4" t="str">
        <f>IF($D68="","",SUMIFS(Weights!$AA:$AA,Weights!$C:$C,$F68))</f>
        <v/>
      </c>
      <c r="AC68" s="4" t="str">
        <f>IF($D68="","",SUMIFS(Weights!$AB:$AB,Weights!$C:$C,$F68))</f>
        <v/>
      </c>
      <c r="AD68" s="4" t="str">
        <f>IF($D68="","",SUMIFS(Weights!$AC:$AC,Weights!$C:$C,$F68))</f>
        <v/>
      </c>
      <c r="AE68" s="4" t="str">
        <f>IF($D68="","",SUMIFS(Weights!$AD:$AD,Weights!$C:$C,$F68))</f>
        <v/>
      </c>
      <c r="AF68" s="4" t="str">
        <f>IF($D68="","",SUMIFS(Weights!$AE:$AE,Weights!$C:$C,$F68))</f>
        <v/>
      </c>
      <c r="AG68" s="4" t="str">
        <f>IF($D68="","",SUMIFS(Weights!$AF:$AF,Weights!$C:$C,$F68))</f>
        <v/>
      </c>
      <c r="AH68" s="4" t="str">
        <f>IF($D68="","",SUMIFS(Weights!$AG:$AG,Weights!$C:$C,$F68))</f>
        <v/>
      </c>
      <c r="AI68" s="4" t="str">
        <f>IF($D68="","",SUMIFS(Weights!$AH:$AH,Weights!$C:$C,$F68))</f>
        <v/>
      </c>
      <c r="AJ68" s="4" t="str">
        <f>IF($D68="","",SUMIFS(Weights!$AI:$AI,Weights!$C:$C,$F68))</f>
        <v/>
      </c>
      <c r="AK68" s="4" t="str">
        <f>IF($D68="","",SUMIFS(Weights!$AJ:$AJ,Weights!$C:$C,$F68))</f>
        <v/>
      </c>
      <c r="AL68" s="4" t="str">
        <f>IF($D68="","",SUMIFS(Weights!$AK:$AK,Weights!$C:$C,$F68))</f>
        <v/>
      </c>
      <c r="AM68" s="4" t="str">
        <f>IF($D68="","",SUMIFS(Weights!$AL:$AL,Weights!$C:$C,$F68))</f>
        <v/>
      </c>
    </row>
    <row r="69" spans="1:39" ht="30" x14ac:dyDescent="0.25">
      <c r="A69" s="4">
        <v>68</v>
      </c>
      <c r="B69" s="4" t="s">
        <v>304</v>
      </c>
      <c r="C69" s="4" t="s">
        <v>345</v>
      </c>
      <c r="D69" s="5" t="s">
        <v>878</v>
      </c>
      <c r="E69" s="4" t="str">
        <f>IF(D69="","",INDEX(Questions!$D$2:$G$81,MATCH(A69,Questions!$A$2:$A$81,0),MATCH(D69,{"A","B","C","D"},0)))</f>
        <v/>
      </c>
      <c r="F69" s="4" t="str">
        <f t="shared" si="2"/>
        <v>68|</v>
      </c>
      <c r="G69" s="4" t="str">
        <f>IF($D69="","",SUMIFS(Weights!$F:$F,Weights!$C:$C,$F69))</f>
        <v/>
      </c>
      <c r="H69" s="4" t="str">
        <f>IF($D69="","",SUMIFS(Weights!$G:$G,Weights!$C:$C,$F69))</f>
        <v/>
      </c>
      <c r="I69" s="4" t="str">
        <f>IF($D69="","",SUMIFS(Weights!$H:$H,Weights!$C:$C,$F69))</f>
        <v/>
      </c>
      <c r="J69" s="4" t="str">
        <f>IF($D69="","",SUMIFS(Weights!$I:$I,Weights!$C:$C,$F69))</f>
        <v/>
      </c>
      <c r="K69" s="4" t="str">
        <f>IF($D69="","",SUMIFS(Weights!$J:$J,Weights!$C:$C,$F69))</f>
        <v/>
      </c>
      <c r="L69" s="4" t="str">
        <f>IF($D69="","",SUMIFS(Weights!$K:$K,Weights!$C:$C,$F69))</f>
        <v/>
      </c>
      <c r="M69" s="4" t="str">
        <f>IF($D69="","",SUMIFS(Weights!$L:$L,Weights!$C:$C,$F69))</f>
        <v/>
      </c>
      <c r="N69" s="4" t="str">
        <f>IF($D69="","",SUMIFS(Weights!$M:$M,Weights!$C:$C,$F69))</f>
        <v/>
      </c>
      <c r="O69" s="4" t="str">
        <f>IF($D69="","",SUMIFS(Weights!$N:$N,Weights!$C:$C,$F69))</f>
        <v/>
      </c>
      <c r="P69" s="4" t="str">
        <f>IF($D69="","",SUMIFS(Weights!$O:$O,Weights!$C:$C,$F69))</f>
        <v/>
      </c>
      <c r="Q69" s="4" t="str">
        <f>IF($D69="","",SUMIFS(Weights!$P:$P,Weights!$C:$C,$F69))</f>
        <v/>
      </c>
      <c r="R69" s="4" t="str">
        <f>IF($D69="","",SUMIFS(Weights!$Q:$Q,Weights!$C:$C,$F69))</f>
        <v/>
      </c>
      <c r="S69" s="4" t="str">
        <f>IF($D69="","",SUMIFS(Weights!$R:$R,Weights!$C:$C,$F69))</f>
        <v/>
      </c>
      <c r="T69" s="4" t="str">
        <f>IF($D69="","",SUMIFS(Weights!$S:$S,Weights!$C:$C,$F69))</f>
        <v/>
      </c>
      <c r="U69" s="4" t="str">
        <f>IF($D69="","",SUMIFS(Weights!$T:$T,Weights!$C:$C,$F69))</f>
        <v/>
      </c>
      <c r="V69" s="4" t="str">
        <f>IF($D69="","",SUMIFS(Weights!$U:$U,Weights!$C:$C,$F69))</f>
        <v/>
      </c>
      <c r="W69" s="4" t="str">
        <f>IF($D69="","",SUMIFS(Weights!$V:$V,Weights!$C:$C,$F69))</f>
        <v/>
      </c>
      <c r="X69" s="4" t="str">
        <f>IF($D69="","",SUMIFS(Weights!$W:$W,Weights!$C:$C,$F69))</f>
        <v/>
      </c>
      <c r="Y69" s="4" t="str">
        <f>IF($D69="","",SUMIFS(Weights!$X:$X,Weights!$C:$C,$F69))</f>
        <v/>
      </c>
      <c r="Z69" s="4" t="str">
        <f>IF($D69="","",SUMIFS(Weights!$Y:$Y,Weights!$C:$C,$F69))</f>
        <v/>
      </c>
      <c r="AA69" s="4" t="str">
        <f>IF($D69="","",SUMIFS(Weights!$Z:$Z,Weights!$C:$C,$F69))</f>
        <v/>
      </c>
      <c r="AB69" s="4" t="str">
        <f>IF($D69="","",SUMIFS(Weights!$AA:$AA,Weights!$C:$C,$F69))</f>
        <v/>
      </c>
      <c r="AC69" s="4" t="str">
        <f>IF($D69="","",SUMIFS(Weights!$AB:$AB,Weights!$C:$C,$F69))</f>
        <v/>
      </c>
      <c r="AD69" s="4" t="str">
        <f>IF($D69="","",SUMIFS(Weights!$AC:$AC,Weights!$C:$C,$F69))</f>
        <v/>
      </c>
      <c r="AE69" s="4" t="str">
        <f>IF($D69="","",SUMIFS(Weights!$AD:$AD,Weights!$C:$C,$F69))</f>
        <v/>
      </c>
      <c r="AF69" s="4" t="str">
        <f>IF($D69="","",SUMIFS(Weights!$AE:$AE,Weights!$C:$C,$F69))</f>
        <v/>
      </c>
      <c r="AG69" s="4" t="str">
        <f>IF($D69="","",SUMIFS(Weights!$AF:$AF,Weights!$C:$C,$F69))</f>
        <v/>
      </c>
      <c r="AH69" s="4" t="str">
        <f>IF($D69="","",SUMIFS(Weights!$AG:$AG,Weights!$C:$C,$F69))</f>
        <v/>
      </c>
      <c r="AI69" s="4" t="str">
        <f>IF($D69="","",SUMIFS(Weights!$AH:$AH,Weights!$C:$C,$F69))</f>
        <v/>
      </c>
      <c r="AJ69" s="4" t="str">
        <f>IF($D69="","",SUMIFS(Weights!$AI:$AI,Weights!$C:$C,$F69))</f>
        <v/>
      </c>
      <c r="AK69" s="4" t="str">
        <f>IF($D69="","",SUMIFS(Weights!$AJ:$AJ,Weights!$C:$C,$F69))</f>
        <v/>
      </c>
      <c r="AL69" s="4" t="str">
        <f>IF($D69="","",SUMIFS(Weights!$AK:$AK,Weights!$C:$C,$F69))</f>
        <v/>
      </c>
      <c r="AM69" s="4" t="str">
        <f>IF($D69="","",SUMIFS(Weights!$AL:$AL,Weights!$C:$C,$F69))</f>
        <v/>
      </c>
    </row>
    <row r="70" spans="1:39" ht="30" x14ac:dyDescent="0.25">
      <c r="A70" s="4">
        <v>69</v>
      </c>
      <c r="B70" s="4" t="s">
        <v>304</v>
      </c>
      <c r="C70" s="4" t="s">
        <v>349</v>
      </c>
      <c r="D70" s="5" t="s">
        <v>878</v>
      </c>
      <c r="E70" s="4" t="str">
        <f>IF(D70="","",INDEX(Questions!$D$2:$G$81,MATCH(A70,Questions!$A$2:$A$81,0),MATCH(D70,{"A","B","C","D"},0)))</f>
        <v/>
      </c>
      <c r="F70" s="4" t="str">
        <f t="shared" si="2"/>
        <v>69|</v>
      </c>
      <c r="G70" s="4" t="str">
        <f>IF($D70="","",SUMIFS(Weights!$F:$F,Weights!$C:$C,$F70))</f>
        <v/>
      </c>
      <c r="H70" s="4" t="str">
        <f>IF($D70="","",SUMIFS(Weights!$G:$G,Weights!$C:$C,$F70))</f>
        <v/>
      </c>
      <c r="I70" s="4" t="str">
        <f>IF($D70="","",SUMIFS(Weights!$H:$H,Weights!$C:$C,$F70))</f>
        <v/>
      </c>
      <c r="J70" s="4" t="str">
        <f>IF($D70="","",SUMIFS(Weights!$I:$I,Weights!$C:$C,$F70))</f>
        <v/>
      </c>
      <c r="K70" s="4" t="str">
        <f>IF($D70="","",SUMIFS(Weights!$J:$J,Weights!$C:$C,$F70))</f>
        <v/>
      </c>
      <c r="L70" s="4" t="str">
        <f>IF($D70="","",SUMIFS(Weights!$K:$K,Weights!$C:$C,$F70))</f>
        <v/>
      </c>
      <c r="M70" s="4" t="str">
        <f>IF($D70="","",SUMIFS(Weights!$L:$L,Weights!$C:$C,$F70))</f>
        <v/>
      </c>
      <c r="N70" s="4" t="str">
        <f>IF($D70="","",SUMIFS(Weights!$M:$M,Weights!$C:$C,$F70))</f>
        <v/>
      </c>
      <c r="O70" s="4" t="str">
        <f>IF($D70="","",SUMIFS(Weights!$N:$N,Weights!$C:$C,$F70))</f>
        <v/>
      </c>
      <c r="P70" s="4" t="str">
        <f>IF($D70="","",SUMIFS(Weights!$O:$O,Weights!$C:$C,$F70))</f>
        <v/>
      </c>
      <c r="Q70" s="4" t="str">
        <f>IF($D70="","",SUMIFS(Weights!$P:$P,Weights!$C:$C,$F70))</f>
        <v/>
      </c>
      <c r="R70" s="4" t="str">
        <f>IF($D70="","",SUMIFS(Weights!$Q:$Q,Weights!$C:$C,$F70))</f>
        <v/>
      </c>
      <c r="S70" s="4" t="str">
        <f>IF($D70="","",SUMIFS(Weights!$R:$R,Weights!$C:$C,$F70))</f>
        <v/>
      </c>
      <c r="T70" s="4" t="str">
        <f>IF($D70="","",SUMIFS(Weights!$S:$S,Weights!$C:$C,$F70))</f>
        <v/>
      </c>
      <c r="U70" s="4" t="str">
        <f>IF($D70="","",SUMIFS(Weights!$T:$T,Weights!$C:$C,$F70))</f>
        <v/>
      </c>
      <c r="V70" s="4" t="str">
        <f>IF($D70="","",SUMIFS(Weights!$U:$U,Weights!$C:$C,$F70))</f>
        <v/>
      </c>
      <c r="W70" s="4" t="str">
        <f>IF($D70="","",SUMIFS(Weights!$V:$V,Weights!$C:$C,$F70))</f>
        <v/>
      </c>
      <c r="X70" s="4" t="str">
        <f>IF($D70="","",SUMIFS(Weights!$W:$W,Weights!$C:$C,$F70))</f>
        <v/>
      </c>
      <c r="Y70" s="4" t="str">
        <f>IF($D70="","",SUMIFS(Weights!$X:$X,Weights!$C:$C,$F70))</f>
        <v/>
      </c>
      <c r="Z70" s="4" t="str">
        <f>IF($D70="","",SUMIFS(Weights!$Y:$Y,Weights!$C:$C,$F70))</f>
        <v/>
      </c>
      <c r="AA70" s="4" t="str">
        <f>IF($D70="","",SUMIFS(Weights!$Z:$Z,Weights!$C:$C,$F70))</f>
        <v/>
      </c>
      <c r="AB70" s="4" t="str">
        <f>IF($D70="","",SUMIFS(Weights!$AA:$AA,Weights!$C:$C,$F70))</f>
        <v/>
      </c>
      <c r="AC70" s="4" t="str">
        <f>IF($D70="","",SUMIFS(Weights!$AB:$AB,Weights!$C:$C,$F70))</f>
        <v/>
      </c>
      <c r="AD70" s="4" t="str">
        <f>IF($D70="","",SUMIFS(Weights!$AC:$AC,Weights!$C:$C,$F70))</f>
        <v/>
      </c>
      <c r="AE70" s="4" t="str">
        <f>IF($D70="","",SUMIFS(Weights!$AD:$AD,Weights!$C:$C,$F70))</f>
        <v/>
      </c>
      <c r="AF70" s="4" t="str">
        <f>IF($D70="","",SUMIFS(Weights!$AE:$AE,Weights!$C:$C,$F70))</f>
        <v/>
      </c>
      <c r="AG70" s="4" t="str">
        <f>IF($D70="","",SUMIFS(Weights!$AF:$AF,Weights!$C:$C,$F70))</f>
        <v/>
      </c>
      <c r="AH70" s="4" t="str">
        <f>IF($D70="","",SUMIFS(Weights!$AG:$AG,Weights!$C:$C,$F70))</f>
        <v/>
      </c>
      <c r="AI70" s="4" t="str">
        <f>IF($D70="","",SUMIFS(Weights!$AH:$AH,Weights!$C:$C,$F70))</f>
        <v/>
      </c>
      <c r="AJ70" s="4" t="str">
        <f>IF($D70="","",SUMIFS(Weights!$AI:$AI,Weights!$C:$C,$F70))</f>
        <v/>
      </c>
      <c r="AK70" s="4" t="str">
        <f>IF($D70="","",SUMIFS(Weights!$AJ:$AJ,Weights!$C:$C,$F70))</f>
        <v/>
      </c>
      <c r="AL70" s="4" t="str">
        <f>IF($D70="","",SUMIFS(Weights!$AK:$AK,Weights!$C:$C,$F70))</f>
        <v/>
      </c>
      <c r="AM70" s="4" t="str">
        <f>IF($D70="","",SUMIFS(Weights!$AL:$AL,Weights!$C:$C,$F70))</f>
        <v/>
      </c>
    </row>
    <row r="71" spans="1:39" ht="30" x14ac:dyDescent="0.25">
      <c r="A71" s="4">
        <v>70</v>
      </c>
      <c r="B71" s="4" t="s">
        <v>304</v>
      </c>
      <c r="C71" s="4" t="s">
        <v>354</v>
      </c>
      <c r="D71" s="5" t="s">
        <v>878</v>
      </c>
      <c r="E71" s="4" t="str">
        <f>IF(D71="","",INDEX(Questions!$D$2:$G$81,MATCH(A71,Questions!$A$2:$A$81,0),MATCH(D71,{"A","B","C","D"},0)))</f>
        <v/>
      </c>
      <c r="F71" s="4" t="str">
        <f t="shared" si="2"/>
        <v>70|</v>
      </c>
      <c r="G71" s="4" t="str">
        <f>IF($D71="","",SUMIFS(Weights!$F:$F,Weights!$C:$C,$F71))</f>
        <v/>
      </c>
      <c r="H71" s="4" t="str">
        <f>IF($D71="","",SUMIFS(Weights!$G:$G,Weights!$C:$C,$F71))</f>
        <v/>
      </c>
      <c r="I71" s="4" t="str">
        <f>IF($D71="","",SUMIFS(Weights!$H:$H,Weights!$C:$C,$F71))</f>
        <v/>
      </c>
      <c r="J71" s="4" t="str">
        <f>IF($D71="","",SUMIFS(Weights!$I:$I,Weights!$C:$C,$F71))</f>
        <v/>
      </c>
      <c r="K71" s="4" t="str">
        <f>IF($D71="","",SUMIFS(Weights!$J:$J,Weights!$C:$C,$F71))</f>
        <v/>
      </c>
      <c r="L71" s="4" t="str">
        <f>IF($D71="","",SUMIFS(Weights!$K:$K,Weights!$C:$C,$F71))</f>
        <v/>
      </c>
      <c r="M71" s="4" t="str">
        <f>IF($D71="","",SUMIFS(Weights!$L:$L,Weights!$C:$C,$F71))</f>
        <v/>
      </c>
      <c r="N71" s="4" t="str">
        <f>IF($D71="","",SUMIFS(Weights!$M:$M,Weights!$C:$C,$F71))</f>
        <v/>
      </c>
      <c r="O71" s="4" t="str">
        <f>IF($D71="","",SUMIFS(Weights!$N:$N,Weights!$C:$C,$F71))</f>
        <v/>
      </c>
      <c r="P71" s="4" t="str">
        <f>IF($D71="","",SUMIFS(Weights!$O:$O,Weights!$C:$C,$F71))</f>
        <v/>
      </c>
      <c r="Q71" s="4" t="str">
        <f>IF($D71="","",SUMIFS(Weights!$P:$P,Weights!$C:$C,$F71))</f>
        <v/>
      </c>
      <c r="R71" s="4" t="str">
        <f>IF($D71="","",SUMIFS(Weights!$Q:$Q,Weights!$C:$C,$F71))</f>
        <v/>
      </c>
      <c r="S71" s="4" t="str">
        <f>IF($D71="","",SUMIFS(Weights!$R:$R,Weights!$C:$C,$F71))</f>
        <v/>
      </c>
      <c r="T71" s="4" t="str">
        <f>IF($D71="","",SUMIFS(Weights!$S:$S,Weights!$C:$C,$F71))</f>
        <v/>
      </c>
      <c r="U71" s="4" t="str">
        <f>IF($D71="","",SUMIFS(Weights!$T:$T,Weights!$C:$C,$F71))</f>
        <v/>
      </c>
      <c r="V71" s="4" t="str">
        <f>IF($D71="","",SUMIFS(Weights!$U:$U,Weights!$C:$C,$F71))</f>
        <v/>
      </c>
      <c r="W71" s="4" t="str">
        <f>IF($D71="","",SUMIFS(Weights!$V:$V,Weights!$C:$C,$F71))</f>
        <v/>
      </c>
      <c r="X71" s="4" t="str">
        <f>IF($D71="","",SUMIFS(Weights!$W:$W,Weights!$C:$C,$F71))</f>
        <v/>
      </c>
      <c r="Y71" s="4" t="str">
        <f>IF($D71="","",SUMIFS(Weights!$X:$X,Weights!$C:$C,$F71))</f>
        <v/>
      </c>
      <c r="Z71" s="4" t="str">
        <f>IF($D71="","",SUMIFS(Weights!$Y:$Y,Weights!$C:$C,$F71))</f>
        <v/>
      </c>
      <c r="AA71" s="4" t="str">
        <f>IF($D71="","",SUMIFS(Weights!$Z:$Z,Weights!$C:$C,$F71))</f>
        <v/>
      </c>
      <c r="AB71" s="4" t="str">
        <f>IF($D71="","",SUMIFS(Weights!$AA:$AA,Weights!$C:$C,$F71))</f>
        <v/>
      </c>
      <c r="AC71" s="4" t="str">
        <f>IF($D71="","",SUMIFS(Weights!$AB:$AB,Weights!$C:$C,$F71))</f>
        <v/>
      </c>
      <c r="AD71" s="4" t="str">
        <f>IF($D71="","",SUMIFS(Weights!$AC:$AC,Weights!$C:$C,$F71))</f>
        <v/>
      </c>
      <c r="AE71" s="4" t="str">
        <f>IF($D71="","",SUMIFS(Weights!$AD:$AD,Weights!$C:$C,$F71))</f>
        <v/>
      </c>
      <c r="AF71" s="4" t="str">
        <f>IF($D71="","",SUMIFS(Weights!$AE:$AE,Weights!$C:$C,$F71))</f>
        <v/>
      </c>
      <c r="AG71" s="4" t="str">
        <f>IF($D71="","",SUMIFS(Weights!$AF:$AF,Weights!$C:$C,$F71))</f>
        <v/>
      </c>
      <c r="AH71" s="4" t="str">
        <f>IF($D71="","",SUMIFS(Weights!$AG:$AG,Weights!$C:$C,$F71))</f>
        <v/>
      </c>
      <c r="AI71" s="4" t="str">
        <f>IF($D71="","",SUMIFS(Weights!$AH:$AH,Weights!$C:$C,$F71))</f>
        <v/>
      </c>
      <c r="AJ71" s="4" t="str">
        <f>IF($D71="","",SUMIFS(Weights!$AI:$AI,Weights!$C:$C,$F71))</f>
        <v/>
      </c>
      <c r="AK71" s="4" t="str">
        <f>IF($D71="","",SUMIFS(Weights!$AJ:$AJ,Weights!$C:$C,$F71))</f>
        <v/>
      </c>
      <c r="AL71" s="4" t="str">
        <f>IF($D71="","",SUMIFS(Weights!$AK:$AK,Weights!$C:$C,$F71))</f>
        <v/>
      </c>
      <c r="AM71" s="4" t="str">
        <f>IF($D71="","",SUMIFS(Weights!$AL:$AL,Weights!$C:$C,$F71))</f>
        <v/>
      </c>
    </row>
    <row r="72" spans="1:39" ht="30" x14ac:dyDescent="0.25">
      <c r="A72" s="4">
        <v>71</v>
      </c>
      <c r="B72" s="4" t="s">
        <v>304</v>
      </c>
      <c r="C72" s="4" t="s">
        <v>359</v>
      </c>
      <c r="D72" s="5" t="s">
        <v>878</v>
      </c>
      <c r="E72" s="4" t="str">
        <f>IF(D72="","",INDEX(Questions!$D$2:$G$81,MATCH(A72,Questions!$A$2:$A$81,0),MATCH(D72,{"A","B","C","D"},0)))</f>
        <v/>
      </c>
      <c r="F72" s="4" t="str">
        <f t="shared" si="2"/>
        <v>71|</v>
      </c>
      <c r="G72" s="4" t="str">
        <f>IF($D72="","",SUMIFS(Weights!$F:$F,Weights!$C:$C,$F72))</f>
        <v/>
      </c>
      <c r="H72" s="4" t="str">
        <f>IF($D72="","",SUMIFS(Weights!$G:$G,Weights!$C:$C,$F72))</f>
        <v/>
      </c>
      <c r="I72" s="4" t="str">
        <f>IF($D72="","",SUMIFS(Weights!$H:$H,Weights!$C:$C,$F72))</f>
        <v/>
      </c>
      <c r="J72" s="4" t="str">
        <f>IF($D72="","",SUMIFS(Weights!$I:$I,Weights!$C:$C,$F72))</f>
        <v/>
      </c>
      <c r="K72" s="4" t="str">
        <f>IF($D72="","",SUMIFS(Weights!$J:$J,Weights!$C:$C,$F72))</f>
        <v/>
      </c>
      <c r="L72" s="4" t="str">
        <f>IF($D72="","",SUMIFS(Weights!$K:$K,Weights!$C:$C,$F72))</f>
        <v/>
      </c>
      <c r="M72" s="4" t="str">
        <f>IF($D72="","",SUMIFS(Weights!$L:$L,Weights!$C:$C,$F72))</f>
        <v/>
      </c>
      <c r="N72" s="4" t="str">
        <f>IF($D72="","",SUMIFS(Weights!$M:$M,Weights!$C:$C,$F72))</f>
        <v/>
      </c>
      <c r="O72" s="4" t="str">
        <f>IF($D72="","",SUMIFS(Weights!$N:$N,Weights!$C:$C,$F72))</f>
        <v/>
      </c>
      <c r="P72" s="4" t="str">
        <f>IF($D72="","",SUMIFS(Weights!$O:$O,Weights!$C:$C,$F72))</f>
        <v/>
      </c>
      <c r="Q72" s="4" t="str">
        <f>IF($D72="","",SUMIFS(Weights!$P:$P,Weights!$C:$C,$F72))</f>
        <v/>
      </c>
      <c r="R72" s="4" t="str">
        <f>IF($D72="","",SUMIFS(Weights!$Q:$Q,Weights!$C:$C,$F72))</f>
        <v/>
      </c>
      <c r="S72" s="4" t="str">
        <f>IF($D72="","",SUMIFS(Weights!$R:$R,Weights!$C:$C,$F72))</f>
        <v/>
      </c>
      <c r="T72" s="4" t="str">
        <f>IF($D72="","",SUMIFS(Weights!$S:$S,Weights!$C:$C,$F72))</f>
        <v/>
      </c>
      <c r="U72" s="4" t="str">
        <f>IF($D72="","",SUMIFS(Weights!$T:$T,Weights!$C:$C,$F72))</f>
        <v/>
      </c>
      <c r="V72" s="4" t="str">
        <f>IF($D72="","",SUMIFS(Weights!$U:$U,Weights!$C:$C,$F72))</f>
        <v/>
      </c>
      <c r="W72" s="4" t="str">
        <f>IF($D72="","",SUMIFS(Weights!$V:$V,Weights!$C:$C,$F72))</f>
        <v/>
      </c>
      <c r="X72" s="4" t="str">
        <f>IF($D72="","",SUMIFS(Weights!$W:$W,Weights!$C:$C,$F72))</f>
        <v/>
      </c>
      <c r="Y72" s="4" t="str">
        <f>IF($D72="","",SUMIFS(Weights!$X:$X,Weights!$C:$C,$F72))</f>
        <v/>
      </c>
      <c r="Z72" s="4" t="str">
        <f>IF($D72="","",SUMIFS(Weights!$Y:$Y,Weights!$C:$C,$F72))</f>
        <v/>
      </c>
      <c r="AA72" s="4" t="str">
        <f>IF($D72="","",SUMIFS(Weights!$Z:$Z,Weights!$C:$C,$F72))</f>
        <v/>
      </c>
      <c r="AB72" s="4" t="str">
        <f>IF($D72="","",SUMIFS(Weights!$AA:$AA,Weights!$C:$C,$F72))</f>
        <v/>
      </c>
      <c r="AC72" s="4" t="str">
        <f>IF($D72="","",SUMIFS(Weights!$AB:$AB,Weights!$C:$C,$F72))</f>
        <v/>
      </c>
      <c r="AD72" s="4" t="str">
        <f>IF($D72="","",SUMIFS(Weights!$AC:$AC,Weights!$C:$C,$F72))</f>
        <v/>
      </c>
      <c r="AE72" s="4" t="str">
        <f>IF($D72="","",SUMIFS(Weights!$AD:$AD,Weights!$C:$C,$F72))</f>
        <v/>
      </c>
      <c r="AF72" s="4" t="str">
        <f>IF($D72="","",SUMIFS(Weights!$AE:$AE,Weights!$C:$C,$F72))</f>
        <v/>
      </c>
      <c r="AG72" s="4" t="str">
        <f>IF($D72="","",SUMIFS(Weights!$AF:$AF,Weights!$C:$C,$F72))</f>
        <v/>
      </c>
      <c r="AH72" s="4" t="str">
        <f>IF($D72="","",SUMIFS(Weights!$AG:$AG,Weights!$C:$C,$F72))</f>
        <v/>
      </c>
      <c r="AI72" s="4" t="str">
        <f>IF($D72="","",SUMIFS(Weights!$AH:$AH,Weights!$C:$C,$F72))</f>
        <v/>
      </c>
      <c r="AJ72" s="4" t="str">
        <f>IF($D72="","",SUMIFS(Weights!$AI:$AI,Weights!$C:$C,$F72))</f>
        <v/>
      </c>
      <c r="AK72" s="4" t="str">
        <f>IF($D72="","",SUMIFS(Weights!$AJ:$AJ,Weights!$C:$C,$F72))</f>
        <v/>
      </c>
      <c r="AL72" s="4" t="str">
        <f>IF($D72="","",SUMIFS(Weights!$AK:$AK,Weights!$C:$C,$F72))</f>
        <v/>
      </c>
      <c r="AM72" s="4" t="str">
        <f>IF($D72="","",SUMIFS(Weights!$AL:$AL,Weights!$C:$C,$F72))</f>
        <v/>
      </c>
    </row>
    <row r="73" spans="1:39" ht="30" x14ac:dyDescent="0.25">
      <c r="A73" s="4">
        <v>72</v>
      </c>
      <c r="B73" s="4" t="s">
        <v>304</v>
      </c>
      <c r="C73" s="4" t="s">
        <v>364</v>
      </c>
      <c r="D73" s="5" t="s">
        <v>878</v>
      </c>
      <c r="E73" s="4" t="str">
        <f>IF(D73="","",INDEX(Questions!$D$2:$G$81,MATCH(A73,Questions!$A$2:$A$81,0),MATCH(D73,{"A","B","C","D"},0)))</f>
        <v/>
      </c>
      <c r="F73" s="4" t="str">
        <f t="shared" si="2"/>
        <v>72|</v>
      </c>
      <c r="G73" s="4" t="str">
        <f>IF($D73="","",SUMIFS(Weights!$F:$F,Weights!$C:$C,$F73))</f>
        <v/>
      </c>
      <c r="H73" s="4" t="str">
        <f>IF($D73="","",SUMIFS(Weights!$G:$G,Weights!$C:$C,$F73))</f>
        <v/>
      </c>
      <c r="I73" s="4" t="str">
        <f>IF($D73="","",SUMIFS(Weights!$H:$H,Weights!$C:$C,$F73))</f>
        <v/>
      </c>
      <c r="J73" s="4" t="str">
        <f>IF($D73="","",SUMIFS(Weights!$I:$I,Weights!$C:$C,$F73))</f>
        <v/>
      </c>
      <c r="K73" s="4" t="str">
        <f>IF($D73="","",SUMIFS(Weights!$J:$J,Weights!$C:$C,$F73))</f>
        <v/>
      </c>
      <c r="L73" s="4" t="str">
        <f>IF($D73="","",SUMIFS(Weights!$K:$K,Weights!$C:$C,$F73))</f>
        <v/>
      </c>
      <c r="M73" s="4" t="str">
        <f>IF($D73="","",SUMIFS(Weights!$L:$L,Weights!$C:$C,$F73))</f>
        <v/>
      </c>
      <c r="N73" s="4" t="str">
        <f>IF($D73="","",SUMIFS(Weights!$M:$M,Weights!$C:$C,$F73))</f>
        <v/>
      </c>
      <c r="O73" s="4" t="str">
        <f>IF($D73="","",SUMIFS(Weights!$N:$N,Weights!$C:$C,$F73))</f>
        <v/>
      </c>
      <c r="P73" s="4" t="str">
        <f>IF($D73="","",SUMIFS(Weights!$O:$O,Weights!$C:$C,$F73))</f>
        <v/>
      </c>
      <c r="Q73" s="4" t="str">
        <f>IF($D73="","",SUMIFS(Weights!$P:$P,Weights!$C:$C,$F73))</f>
        <v/>
      </c>
      <c r="R73" s="4" t="str">
        <f>IF($D73="","",SUMIFS(Weights!$Q:$Q,Weights!$C:$C,$F73))</f>
        <v/>
      </c>
      <c r="S73" s="4" t="str">
        <f>IF($D73="","",SUMIFS(Weights!$R:$R,Weights!$C:$C,$F73))</f>
        <v/>
      </c>
      <c r="T73" s="4" t="str">
        <f>IF($D73="","",SUMIFS(Weights!$S:$S,Weights!$C:$C,$F73))</f>
        <v/>
      </c>
      <c r="U73" s="4" t="str">
        <f>IF($D73="","",SUMIFS(Weights!$T:$T,Weights!$C:$C,$F73))</f>
        <v/>
      </c>
      <c r="V73" s="4" t="str">
        <f>IF($D73="","",SUMIFS(Weights!$U:$U,Weights!$C:$C,$F73))</f>
        <v/>
      </c>
      <c r="W73" s="4" t="str">
        <f>IF($D73="","",SUMIFS(Weights!$V:$V,Weights!$C:$C,$F73))</f>
        <v/>
      </c>
      <c r="X73" s="4" t="str">
        <f>IF($D73="","",SUMIFS(Weights!$W:$W,Weights!$C:$C,$F73))</f>
        <v/>
      </c>
      <c r="Y73" s="4" t="str">
        <f>IF($D73="","",SUMIFS(Weights!$X:$X,Weights!$C:$C,$F73))</f>
        <v/>
      </c>
      <c r="Z73" s="4" t="str">
        <f>IF($D73="","",SUMIFS(Weights!$Y:$Y,Weights!$C:$C,$F73))</f>
        <v/>
      </c>
      <c r="AA73" s="4" t="str">
        <f>IF($D73="","",SUMIFS(Weights!$Z:$Z,Weights!$C:$C,$F73))</f>
        <v/>
      </c>
      <c r="AB73" s="4" t="str">
        <f>IF($D73="","",SUMIFS(Weights!$AA:$AA,Weights!$C:$C,$F73))</f>
        <v/>
      </c>
      <c r="AC73" s="4" t="str">
        <f>IF($D73="","",SUMIFS(Weights!$AB:$AB,Weights!$C:$C,$F73))</f>
        <v/>
      </c>
      <c r="AD73" s="4" t="str">
        <f>IF($D73="","",SUMIFS(Weights!$AC:$AC,Weights!$C:$C,$F73))</f>
        <v/>
      </c>
      <c r="AE73" s="4" t="str">
        <f>IF($D73="","",SUMIFS(Weights!$AD:$AD,Weights!$C:$C,$F73))</f>
        <v/>
      </c>
      <c r="AF73" s="4" t="str">
        <f>IF($D73="","",SUMIFS(Weights!$AE:$AE,Weights!$C:$C,$F73))</f>
        <v/>
      </c>
      <c r="AG73" s="4" t="str">
        <f>IF($D73="","",SUMIFS(Weights!$AF:$AF,Weights!$C:$C,$F73))</f>
        <v/>
      </c>
      <c r="AH73" s="4" t="str">
        <f>IF($D73="","",SUMIFS(Weights!$AG:$AG,Weights!$C:$C,$F73))</f>
        <v/>
      </c>
      <c r="AI73" s="4" t="str">
        <f>IF($D73="","",SUMIFS(Weights!$AH:$AH,Weights!$C:$C,$F73))</f>
        <v/>
      </c>
      <c r="AJ73" s="4" t="str">
        <f>IF($D73="","",SUMIFS(Weights!$AI:$AI,Weights!$C:$C,$F73))</f>
        <v/>
      </c>
      <c r="AK73" s="4" t="str">
        <f>IF($D73="","",SUMIFS(Weights!$AJ:$AJ,Weights!$C:$C,$F73))</f>
        <v/>
      </c>
      <c r="AL73" s="4" t="str">
        <f>IF($D73="","",SUMIFS(Weights!$AK:$AK,Weights!$C:$C,$F73))</f>
        <v/>
      </c>
      <c r="AM73" s="4" t="str">
        <f>IF($D73="","",SUMIFS(Weights!$AL:$AL,Weights!$C:$C,$F73))</f>
        <v/>
      </c>
    </row>
    <row r="74" spans="1:39" ht="30" x14ac:dyDescent="0.25">
      <c r="A74" s="4">
        <v>73</v>
      </c>
      <c r="B74" s="4" t="s">
        <v>304</v>
      </c>
      <c r="C74" s="4" t="s">
        <v>369</v>
      </c>
      <c r="D74" s="5" t="s">
        <v>878</v>
      </c>
      <c r="E74" s="4" t="str">
        <f>IF(D74="","",INDEX(Questions!$D$2:$G$81,MATCH(A74,Questions!$A$2:$A$81,0),MATCH(D74,{"A","B","C","D"},0)))</f>
        <v/>
      </c>
      <c r="F74" s="4" t="str">
        <f t="shared" si="2"/>
        <v>73|</v>
      </c>
      <c r="G74" s="4" t="str">
        <f>IF($D74="","",SUMIFS(Weights!$F:$F,Weights!$C:$C,$F74))</f>
        <v/>
      </c>
      <c r="H74" s="4" t="str">
        <f>IF($D74="","",SUMIFS(Weights!$G:$G,Weights!$C:$C,$F74))</f>
        <v/>
      </c>
      <c r="I74" s="4" t="str">
        <f>IF($D74="","",SUMIFS(Weights!$H:$H,Weights!$C:$C,$F74))</f>
        <v/>
      </c>
      <c r="J74" s="4" t="str">
        <f>IF($D74="","",SUMIFS(Weights!$I:$I,Weights!$C:$C,$F74))</f>
        <v/>
      </c>
      <c r="K74" s="4" t="str">
        <f>IF($D74="","",SUMIFS(Weights!$J:$J,Weights!$C:$C,$F74))</f>
        <v/>
      </c>
      <c r="L74" s="4" t="str">
        <f>IF($D74="","",SUMIFS(Weights!$K:$K,Weights!$C:$C,$F74))</f>
        <v/>
      </c>
      <c r="M74" s="4" t="str">
        <f>IF($D74="","",SUMIFS(Weights!$L:$L,Weights!$C:$C,$F74))</f>
        <v/>
      </c>
      <c r="N74" s="4" t="str">
        <f>IF($D74="","",SUMIFS(Weights!$M:$M,Weights!$C:$C,$F74))</f>
        <v/>
      </c>
      <c r="O74" s="4" t="str">
        <f>IF($D74="","",SUMIFS(Weights!$N:$N,Weights!$C:$C,$F74))</f>
        <v/>
      </c>
      <c r="P74" s="4" t="str">
        <f>IF($D74="","",SUMIFS(Weights!$O:$O,Weights!$C:$C,$F74))</f>
        <v/>
      </c>
      <c r="Q74" s="4" t="str">
        <f>IF($D74="","",SUMIFS(Weights!$P:$P,Weights!$C:$C,$F74))</f>
        <v/>
      </c>
      <c r="R74" s="4" t="str">
        <f>IF($D74="","",SUMIFS(Weights!$Q:$Q,Weights!$C:$C,$F74))</f>
        <v/>
      </c>
      <c r="S74" s="4" t="str">
        <f>IF($D74="","",SUMIFS(Weights!$R:$R,Weights!$C:$C,$F74))</f>
        <v/>
      </c>
      <c r="T74" s="4" t="str">
        <f>IF($D74="","",SUMIFS(Weights!$S:$S,Weights!$C:$C,$F74))</f>
        <v/>
      </c>
      <c r="U74" s="4" t="str">
        <f>IF($D74="","",SUMIFS(Weights!$T:$T,Weights!$C:$C,$F74))</f>
        <v/>
      </c>
      <c r="V74" s="4" t="str">
        <f>IF($D74="","",SUMIFS(Weights!$U:$U,Weights!$C:$C,$F74))</f>
        <v/>
      </c>
      <c r="W74" s="4" t="str">
        <f>IF($D74="","",SUMIFS(Weights!$V:$V,Weights!$C:$C,$F74))</f>
        <v/>
      </c>
      <c r="X74" s="4" t="str">
        <f>IF($D74="","",SUMIFS(Weights!$W:$W,Weights!$C:$C,$F74))</f>
        <v/>
      </c>
      <c r="Y74" s="4" t="str">
        <f>IF($D74="","",SUMIFS(Weights!$X:$X,Weights!$C:$C,$F74))</f>
        <v/>
      </c>
      <c r="Z74" s="4" t="str">
        <f>IF($D74="","",SUMIFS(Weights!$Y:$Y,Weights!$C:$C,$F74))</f>
        <v/>
      </c>
      <c r="AA74" s="4" t="str">
        <f>IF($D74="","",SUMIFS(Weights!$Z:$Z,Weights!$C:$C,$F74))</f>
        <v/>
      </c>
      <c r="AB74" s="4" t="str">
        <f>IF($D74="","",SUMIFS(Weights!$AA:$AA,Weights!$C:$C,$F74))</f>
        <v/>
      </c>
      <c r="AC74" s="4" t="str">
        <f>IF($D74="","",SUMIFS(Weights!$AB:$AB,Weights!$C:$C,$F74))</f>
        <v/>
      </c>
      <c r="AD74" s="4" t="str">
        <f>IF($D74="","",SUMIFS(Weights!$AC:$AC,Weights!$C:$C,$F74))</f>
        <v/>
      </c>
      <c r="AE74" s="4" t="str">
        <f>IF($D74="","",SUMIFS(Weights!$AD:$AD,Weights!$C:$C,$F74))</f>
        <v/>
      </c>
      <c r="AF74" s="4" t="str">
        <f>IF($D74="","",SUMIFS(Weights!$AE:$AE,Weights!$C:$C,$F74))</f>
        <v/>
      </c>
      <c r="AG74" s="4" t="str">
        <f>IF($D74="","",SUMIFS(Weights!$AF:$AF,Weights!$C:$C,$F74))</f>
        <v/>
      </c>
      <c r="AH74" s="4" t="str">
        <f>IF($D74="","",SUMIFS(Weights!$AG:$AG,Weights!$C:$C,$F74))</f>
        <v/>
      </c>
      <c r="AI74" s="4" t="str">
        <f>IF($D74="","",SUMIFS(Weights!$AH:$AH,Weights!$C:$C,$F74))</f>
        <v/>
      </c>
      <c r="AJ74" s="4" t="str">
        <f>IF($D74="","",SUMIFS(Weights!$AI:$AI,Weights!$C:$C,$F74))</f>
        <v/>
      </c>
      <c r="AK74" s="4" t="str">
        <f>IF($D74="","",SUMIFS(Weights!$AJ:$AJ,Weights!$C:$C,$F74))</f>
        <v/>
      </c>
      <c r="AL74" s="4" t="str">
        <f>IF($D74="","",SUMIFS(Weights!$AK:$AK,Weights!$C:$C,$F74))</f>
        <v/>
      </c>
      <c r="AM74" s="4" t="str">
        <f>IF($D74="","",SUMIFS(Weights!$AL:$AL,Weights!$C:$C,$F74))</f>
        <v/>
      </c>
    </row>
    <row r="75" spans="1:39" ht="30" x14ac:dyDescent="0.25">
      <c r="A75" s="4">
        <v>74</v>
      </c>
      <c r="B75" s="4" t="s">
        <v>304</v>
      </c>
      <c r="C75" s="4" t="s">
        <v>372</v>
      </c>
      <c r="D75" s="5" t="s">
        <v>878</v>
      </c>
      <c r="E75" s="4" t="str">
        <f>IF(D75="","",INDEX(Questions!$D$2:$G$81,MATCH(A75,Questions!$A$2:$A$81,0),MATCH(D75,{"A","B","C","D"},0)))</f>
        <v/>
      </c>
      <c r="F75" s="4" t="str">
        <f t="shared" si="2"/>
        <v>74|</v>
      </c>
      <c r="G75" s="4" t="str">
        <f>IF($D75="","",SUMIFS(Weights!$F:$F,Weights!$C:$C,$F75))</f>
        <v/>
      </c>
      <c r="H75" s="4" t="str">
        <f>IF($D75="","",SUMIFS(Weights!$G:$G,Weights!$C:$C,$F75))</f>
        <v/>
      </c>
      <c r="I75" s="4" t="str">
        <f>IF($D75="","",SUMIFS(Weights!$H:$H,Weights!$C:$C,$F75))</f>
        <v/>
      </c>
      <c r="J75" s="4" t="str">
        <f>IF($D75="","",SUMIFS(Weights!$I:$I,Weights!$C:$C,$F75))</f>
        <v/>
      </c>
      <c r="K75" s="4" t="str">
        <f>IF($D75="","",SUMIFS(Weights!$J:$J,Weights!$C:$C,$F75))</f>
        <v/>
      </c>
      <c r="L75" s="4" t="str">
        <f>IF($D75="","",SUMIFS(Weights!$K:$K,Weights!$C:$C,$F75))</f>
        <v/>
      </c>
      <c r="M75" s="4" t="str">
        <f>IF($D75="","",SUMIFS(Weights!$L:$L,Weights!$C:$C,$F75))</f>
        <v/>
      </c>
      <c r="N75" s="4" t="str">
        <f>IF($D75="","",SUMIFS(Weights!$M:$M,Weights!$C:$C,$F75))</f>
        <v/>
      </c>
      <c r="O75" s="4" t="str">
        <f>IF($D75="","",SUMIFS(Weights!$N:$N,Weights!$C:$C,$F75))</f>
        <v/>
      </c>
      <c r="P75" s="4" t="str">
        <f>IF($D75="","",SUMIFS(Weights!$O:$O,Weights!$C:$C,$F75))</f>
        <v/>
      </c>
      <c r="Q75" s="4" t="str">
        <f>IF($D75="","",SUMIFS(Weights!$P:$P,Weights!$C:$C,$F75))</f>
        <v/>
      </c>
      <c r="R75" s="4" t="str">
        <f>IF($D75="","",SUMIFS(Weights!$Q:$Q,Weights!$C:$C,$F75))</f>
        <v/>
      </c>
      <c r="S75" s="4" t="str">
        <f>IF($D75="","",SUMIFS(Weights!$R:$R,Weights!$C:$C,$F75))</f>
        <v/>
      </c>
      <c r="T75" s="4" t="str">
        <f>IF($D75="","",SUMIFS(Weights!$S:$S,Weights!$C:$C,$F75))</f>
        <v/>
      </c>
      <c r="U75" s="4" t="str">
        <f>IF($D75="","",SUMIFS(Weights!$T:$T,Weights!$C:$C,$F75))</f>
        <v/>
      </c>
      <c r="V75" s="4" t="str">
        <f>IF($D75="","",SUMIFS(Weights!$U:$U,Weights!$C:$C,$F75))</f>
        <v/>
      </c>
      <c r="W75" s="4" t="str">
        <f>IF($D75="","",SUMIFS(Weights!$V:$V,Weights!$C:$C,$F75))</f>
        <v/>
      </c>
      <c r="X75" s="4" t="str">
        <f>IF($D75="","",SUMIFS(Weights!$W:$W,Weights!$C:$C,$F75))</f>
        <v/>
      </c>
      <c r="Y75" s="4" t="str">
        <f>IF($D75="","",SUMIFS(Weights!$X:$X,Weights!$C:$C,$F75))</f>
        <v/>
      </c>
      <c r="Z75" s="4" t="str">
        <f>IF($D75="","",SUMIFS(Weights!$Y:$Y,Weights!$C:$C,$F75))</f>
        <v/>
      </c>
      <c r="AA75" s="4" t="str">
        <f>IF($D75="","",SUMIFS(Weights!$Z:$Z,Weights!$C:$C,$F75))</f>
        <v/>
      </c>
      <c r="AB75" s="4" t="str">
        <f>IF($D75="","",SUMIFS(Weights!$AA:$AA,Weights!$C:$C,$F75))</f>
        <v/>
      </c>
      <c r="AC75" s="4" t="str">
        <f>IF($D75="","",SUMIFS(Weights!$AB:$AB,Weights!$C:$C,$F75))</f>
        <v/>
      </c>
      <c r="AD75" s="4" t="str">
        <f>IF($D75="","",SUMIFS(Weights!$AC:$AC,Weights!$C:$C,$F75))</f>
        <v/>
      </c>
      <c r="AE75" s="4" t="str">
        <f>IF($D75="","",SUMIFS(Weights!$AD:$AD,Weights!$C:$C,$F75))</f>
        <v/>
      </c>
      <c r="AF75" s="4" t="str">
        <f>IF($D75="","",SUMIFS(Weights!$AE:$AE,Weights!$C:$C,$F75))</f>
        <v/>
      </c>
      <c r="AG75" s="4" t="str">
        <f>IF($D75="","",SUMIFS(Weights!$AF:$AF,Weights!$C:$C,$F75))</f>
        <v/>
      </c>
      <c r="AH75" s="4" t="str">
        <f>IF($D75="","",SUMIFS(Weights!$AG:$AG,Weights!$C:$C,$F75))</f>
        <v/>
      </c>
      <c r="AI75" s="4" t="str">
        <f>IF($D75="","",SUMIFS(Weights!$AH:$AH,Weights!$C:$C,$F75))</f>
        <v/>
      </c>
      <c r="AJ75" s="4" t="str">
        <f>IF($D75="","",SUMIFS(Weights!$AI:$AI,Weights!$C:$C,$F75))</f>
        <v/>
      </c>
      <c r="AK75" s="4" t="str">
        <f>IF($D75="","",SUMIFS(Weights!$AJ:$AJ,Weights!$C:$C,$F75))</f>
        <v/>
      </c>
      <c r="AL75" s="4" t="str">
        <f>IF($D75="","",SUMIFS(Weights!$AK:$AK,Weights!$C:$C,$F75))</f>
        <v/>
      </c>
      <c r="AM75" s="4" t="str">
        <f>IF($D75="","",SUMIFS(Weights!$AL:$AL,Weights!$C:$C,$F75))</f>
        <v/>
      </c>
    </row>
    <row r="76" spans="1:39" ht="30" x14ac:dyDescent="0.25">
      <c r="A76" s="4">
        <v>75</v>
      </c>
      <c r="B76" s="4" t="s">
        <v>304</v>
      </c>
      <c r="C76" s="4" t="s">
        <v>377</v>
      </c>
      <c r="D76" s="5" t="s">
        <v>878</v>
      </c>
      <c r="E76" s="4" t="str">
        <f>IF(D76="","",INDEX(Questions!$D$2:$G$81,MATCH(A76,Questions!$A$2:$A$81,0),MATCH(D76,{"A","B","C","D"},0)))</f>
        <v/>
      </c>
      <c r="F76" s="4" t="str">
        <f t="shared" si="2"/>
        <v>75|</v>
      </c>
      <c r="G76" s="4" t="str">
        <f>IF($D76="","",SUMIFS(Weights!$F:$F,Weights!$C:$C,$F76))</f>
        <v/>
      </c>
      <c r="H76" s="4" t="str">
        <f>IF($D76="","",SUMIFS(Weights!$G:$G,Weights!$C:$C,$F76))</f>
        <v/>
      </c>
      <c r="I76" s="4" t="str">
        <f>IF($D76="","",SUMIFS(Weights!$H:$H,Weights!$C:$C,$F76))</f>
        <v/>
      </c>
      <c r="J76" s="4" t="str">
        <f>IF($D76="","",SUMIFS(Weights!$I:$I,Weights!$C:$C,$F76))</f>
        <v/>
      </c>
      <c r="K76" s="4" t="str">
        <f>IF($D76="","",SUMIFS(Weights!$J:$J,Weights!$C:$C,$F76))</f>
        <v/>
      </c>
      <c r="L76" s="4" t="str">
        <f>IF($D76="","",SUMIFS(Weights!$K:$K,Weights!$C:$C,$F76))</f>
        <v/>
      </c>
      <c r="M76" s="4" t="str">
        <f>IF($D76="","",SUMIFS(Weights!$L:$L,Weights!$C:$C,$F76))</f>
        <v/>
      </c>
      <c r="N76" s="4" t="str">
        <f>IF($D76="","",SUMIFS(Weights!$M:$M,Weights!$C:$C,$F76))</f>
        <v/>
      </c>
      <c r="O76" s="4" t="str">
        <f>IF($D76="","",SUMIFS(Weights!$N:$N,Weights!$C:$C,$F76))</f>
        <v/>
      </c>
      <c r="P76" s="4" t="str">
        <f>IF($D76="","",SUMIFS(Weights!$O:$O,Weights!$C:$C,$F76))</f>
        <v/>
      </c>
      <c r="Q76" s="4" t="str">
        <f>IF($D76="","",SUMIFS(Weights!$P:$P,Weights!$C:$C,$F76))</f>
        <v/>
      </c>
      <c r="R76" s="4" t="str">
        <f>IF($D76="","",SUMIFS(Weights!$Q:$Q,Weights!$C:$C,$F76))</f>
        <v/>
      </c>
      <c r="S76" s="4" t="str">
        <f>IF($D76="","",SUMIFS(Weights!$R:$R,Weights!$C:$C,$F76))</f>
        <v/>
      </c>
      <c r="T76" s="4" t="str">
        <f>IF($D76="","",SUMIFS(Weights!$S:$S,Weights!$C:$C,$F76))</f>
        <v/>
      </c>
      <c r="U76" s="4" t="str">
        <f>IF($D76="","",SUMIFS(Weights!$T:$T,Weights!$C:$C,$F76))</f>
        <v/>
      </c>
      <c r="V76" s="4" t="str">
        <f>IF($D76="","",SUMIFS(Weights!$U:$U,Weights!$C:$C,$F76))</f>
        <v/>
      </c>
      <c r="W76" s="4" t="str">
        <f>IF($D76="","",SUMIFS(Weights!$V:$V,Weights!$C:$C,$F76))</f>
        <v/>
      </c>
      <c r="X76" s="4" t="str">
        <f>IF($D76="","",SUMIFS(Weights!$W:$W,Weights!$C:$C,$F76))</f>
        <v/>
      </c>
      <c r="Y76" s="4" t="str">
        <f>IF($D76="","",SUMIFS(Weights!$X:$X,Weights!$C:$C,$F76))</f>
        <v/>
      </c>
      <c r="Z76" s="4" t="str">
        <f>IF($D76="","",SUMIFS(Weights!$Y:$Y,Weights!$C:$C,$F76))</f>
        <v/>
      </c>
      <c r="AA76" s="4" t="str">
        <f>IF($D76="","",SUMIFS(Weights!$Z:$Z,Weights!$C:$C,$F76))</f>
        <v/>
      </c>
      <c r="AB76" s="4" t="str">
        <f>IF($D76="","",SUMIFS(Weights!$AA:$AA,Weights!$C:$C,$F76))</f>
        <v/>
      </c>
      <c r="AC76" s="4" t="str">
        <f>IF($D76="","",SUMIFS(Weights!$AB:$AB,Weights!$C:$C,$F76))</f>
        <v/>
      </c>
      <c r="AD76" s="4" t="str">
        <f>IF($D76="","",SUMIFS(Weights!$AC:$AC,Weights!$C:$C,$F76))</f>
        <v/>
      </c>
      <c r="AE76" s="4" t="str">
        <f>IF($D76="","",SUMIFS(Weights!$AD:$AD,Weights!$C:$C,$F76))</f>
        <v/>
      </c>
      <c r="AF76" s="4" t="str">
        <f>IF($D76="","",SUMIFS(Weights!$AE:$AE,Weights!$C:$C,$F76))</f>
        <v/>
      </c>
      <c r="AG76" s="4" t="str">
        <f>IF($D76="","",SUMIFS(Weights!$AF:$AF,Weights!$C:$C,$F76))</f>
        <v/>
      </c>
      <c r="AH76" s="4" t="str">
        <f>IF($D76="","",SUMIFS(Weights!$AG:$AG,Weights!$C:$C,$F76))</f>
        <v/>
      </c>
      <c r="AI76" s="4" t="str">
        <f>IF($D76="","",SUMIFS(Weights!$AH:$AH,Weights!$C:$C,$F76))</f>
        <v/>
      </c>
      <c r="AJ76" s="4" t="str">
        <f>IF($D76="","",SUMIFS(Weights!$AI:$AI,Weights!$C:$C,$F76))</f>
        <v/>
      </c>
      <c r="AK76" s="4" t="str">
        <f>IF($D76="","",SUMIFS(Weights!$AJ:$AJ,Weights!$C:$C,$F76))</f>
        <v/>
      </c>
      <c r="AL76" s="4" t="str">
        <f>IF($D76="","",SUMIFS(Weights!$AK:$AK,Weights!$C:$C,$F76))</f>
        <v/>
      </c>
      <c r="AM76" s="4" t="str">
        <f>IF($D76="","",SUMIFS(Weights!$AL:$AL,Weights!$C:$C,$F76))</f>
        <v/>
      </c>
    </row>
    <row r="77" spans="1:39" ht="30" x14ac:dyDescent="0.25">
      <c r="A77" s="4">
        <v>76</v>
      </c>
      <c r="B77" s="4" t="s">
        <v>304</v>
      </c>
      <c r="C77" s="4" t="s">
        <v>382</v>
      </c>
      <c r="D77" s="5" t="s">
        <v>878</v>
      </c>
      <c r="E77" s="4" t="str">
        <f>IF(D77="","",INDEX(Questions!$D$2:$G$81,MATCH(A77,Questions!$A$2:$A$81,0),MATCH(D77,{"A","B","C","D"},0)))</f>
        <v/>
      </c>
      <c r="F77" s="4" t="str">
        <f t="shared" si="2"/>
        <v>76|</v>
      </c>
      <c r="G77" s="4" t="str">
        <f>IF($D77="","",SUMIFS(Weights!$F:$F,Weights!$C:$C,$F77))</f>
        <v/>
      </c>
      <c r="H77" s="4" t="str">
        <f>IF($D77="","",SUMIFS(Weights!$G:$G,Weights!$C:$C,$F77))</f>
        <v/>
      </c>
      <c r="I77" s="4" t="str">
        <f>IF($D77="","",SUMIFS(Weights!$H:$H,Weights!$C:$C,$F77))</f>
        <v/>
      </c>
      <c r="J77" s="4" t="str">
        <f>IF($D77="","",SUMIFS(Weights!$I:$I,Weights!$C:$C,$F77))</f>
        <v/>
      </c>
      <c r="K77" s="4" t="str">
        <f>IF($D77="","",SUMIFS(Weights!$J:$J,Weights!$C:$C,$F77))</f>
        <v/>
      </c>
      <c r="L77" s="4" t="str">
        <f>IF($D77="","",SUMIFS(Weights!$K:$K,Weights!$C:$C,$F77))</f>
        <v/>
      </c>
      <c r="M77" s="4" t="str">
        <f>IF($D77="","",SUMIFS(Weights!$L:$L,Weights!$C:$C,$F77))</f>
        <v/>
      </c>
      <c r="N77" s="4" t="str">
        <f>IF($D77="","",SUMIFS(Weights!$M:$M,Weights!$C:$C,$F77))</f>
        <v/>
      </c>
      <c r="O77" s="4" t="str">
        <f>IF($D77="","",SUMIFS(Weights!$N:$N,Weights!$C:$C,$F77))</f>
        <v/>
      </c>
      <c r="P77" s="4" t="str">
        <f>IF($D77="","",SUMIFS(Weights!$O:$O,Weights!$C:$C,$F77))</f>
        <v/>
      </c>
      <c r="Q77" s="4" t="str">
        <f>IF($D77="","",SUMIFS(Weights!$P:$P,Weights!$C:$C,$F77))</f>
        <v/>
      </c>
      <c r="R77" s="4" t="str">
        <f>IF($D77="","",SUMIFS(Weights!$Q:$Q,Weights!$C:$C,$F77))</f>
        <v/>
      </c>
      <c r="S77" s="4" t="str">
        <f>IF($D77="","",SUMIFS(Weights!$R:$R,Weights!$C:$C,$F77))</f>
        <v/>
      </c>
      <c r="T77" s="4" t="str">
        <f>IF($D77="","",SUMIFS(Weights!$S:$S,Weights!$C:$C,$F77))</f>
        <v/>
      </c>
      <c r="U77" s="4" t="str">
        <f>IF($D77="","",SUMIFS(Weights!$T:$T,Weights!$C:$C,$F77))</f>
        <v/>
      </c>
      <c r="V77" s="4" t="str">
        <f>IF($D77="","",SUMIFS(Weights!$U:$U,Weights!$C:$C,$F77))</f>
        <v/>
      </c>
      <c r="W77" s="4" t="str">
        <f>IF($D77="","",SUMIFS(Weights!$V:$V,Weights!$C:$C,$F77))</f>
        <v/>
      </c>
      <c r="X77" s="4" t="str">
        <f>IF($D77="","",SUMIFS(Weights!$W:$W,Weights!$C:$C,$F77))</f>
        <v/>
      </c>
      <c r="Y77" s="4" t="str">
        <f>IF($D77="","",SUMIFS(Weights!$X:$X,Weights!$C:$C,$F77))</f>
        <v/>
      </c>
      <c r="Z77" s="4" t="str">
        <f>IF($D77="","",SUMIFS(Weights!$Y:$Y,Weights!$C:$C,$F77))</f>
        <v/>
      </c>
      <c r="AA77" s="4" t="str">
        <f>IF($D77="","",SUMIFS(Weights!$Z:$Z,Weights!$C:$C,$F77))</f>
        <v/>
      </c>
      <c r="AB77" s="4" t="str">
        <f>IF($D77="","",SUMIFS(Weights!$AA:$AA,Weights!$C:$C,$F77))</f>
        <v/>
      </c>
      <c r="AC77" s="4" t="str">
        <f>IF($D77="","",SUMIFS(Weights!$AB:$AB,Weights!$C:$C,$F77))</f>
        <v/>
      </c>
      <c r="AD77" s="4" t="str">
        <f>IF($D77="","",SUMIFS(Weights!$AC:$AC,Weights!$C:$C,$F77))</f>
        <v/>
      </c>
      <c r="AE77" s="4" t="str">
        <f>IF($D77="","",SUMIFS(Weights!$AD:$AD,Weights!$C:$C,$F77))</f>
        <v/>
      </c>
      <c r="AF77" s="4" t="str">
        <f>IF($D77="","",SUMIFS(Weights!$AE:$AE,Weights!$C:$C,$F77))</f>
        <v/>
      </c>
      <c r="AG77" s="4" t="str">
        <f>IF($D77="","",SUMIFS(Weights!$AF:$AF,Weights!$C:$C,$F77))</f>
        <v/>
      </c>
      <c r="AH77" s="4" t="str">
        <f>IF($D77="","",SUMIFS(Weights!$AG:$AG,Weights!$C:$C,$F77))</f>
        <v/>
      </c>
      <c r="AI77" s="4" t="str">
        <f>IF($D77="","",SUMIFS(Weights!$AH:$AH,Weights!$C:$C,$F77))</f>
        <v/>
      </c>
      <c r="AJ77" s="4" t="str">
        <f>IF($D77="","",SUMIFS(Weights!$AI:$AI,Weights!$C:$C,$F77))</f>
        <v/>
      </c>
      <c r="AK77" s="4" t="str">
        <f>IF($D77="","",SUMIFS(Weights!$AJ:$AJ,Weights!$C:$C,$F77))</f>
        <v/>
      </c>
      <c r="AL77" s="4" t="str">
        <f>IF($D77="","",SUMIFS(Weights!$AK:$AK,Weights!$C:$C,$F77))</f>
        <v/>
      </c>
      <c r="AM77" s="4" t="str">
        <f>IF($D77="","",SUMIFS(Weights!$AL:$AL,Weights!$C:$C,$F77))</f>
        <v/>
      </c>
    </row>
    <row r="78" spans="1:39" ht="30" x14ac:dyDescent="0.25">
      <c r="A78" s="4">
        <v>77</v>
      </c>
      <c r="B78" s="4" t="s">
        <v>304</v>
      </c>
      <c r="C78" s="4" t="s">
        <v>386</v>
      </c>
      <c r="D78" s="5" t="s">
        <v>878</v>
      </c>
      <c r="E78" s="4" t="str">
        <f>IF(D78="","",INDEX(Questions!$D$2:$G$81,MATCH(A78,Questions!$A$2:$A$81,0),MATCH(D78,{"A","B","C","D"},0)))</f>
        <v/>
      </c>
      <c r="F78" s="4" t="str">
        <f t="shared" si="2"/>
        <v>77|</v>
      </c>
      <c r="G78" s="4" t="str">
        <f>IF($D78="","",SUMIFS(Weights!$F:$F,Weights!$C:$C,$F78))</f>
        <v/>
      </c>
      <c r="H78" s="4" t="str">
        <f>IF($D78="","",SUMIFS(Weights!$G:$G,Weights!$C:$C,$F78))</f>
        <v/>
      </c>
      <c r="I78" s="4" t="str">
        <f>IF($D78="","",SUMIFS(Weights!$H:$H,Weights!$C:$C,$F78))</f>
        <v/>
      </c>
      <c r="J78" s="4" t="str">
        <f>IF($D78="","",SUMIFS(Weights!$I:$I,Weights!$C:$C,$F78))</f>
        <v/>
      </c>
      <c r="K78" s="4" t="str">
        <f>IF($D78="","",SUMIFS(Weights!$J:$J,Weights!$C:$C,$F78))</f>
        <v/>
      </c>
      <c r="L78" s="4" t="str">
        <f>IF($D78="","",SUMIFS(Weights!$K:$K,Weights!$C:$C,$F78))</f>
        <v/>
      </c>
      <c r="M78" s="4" t="str">
        <f>IF($D78="","",SUMIFS(Weights!$L:$L,Weights!$C:$C,$F78))</f>
        <v/>
      </c>
      <c r="N78" s="4" t="str">
        <f>IF($D78="","",SUMIFS(Weights!$M:$M,Weights!$C:$C,$F78))</f>
        <v/>
      </c>
      <c r="O78" s="4" t="str">
        <f>IF($D78="","",SUMIFS(Weights!$N:$N,Weights!$C:$C,$F78))</f>
        <v/>
      </c>
      <c r="P78" s="4" t="str">
        <f>IF($D78="","",SUMIFS(Weights!$O:$O,Weights!$C:$C,$F78))</f>
        <v/>
      </c>
      <c r="Q78" s="4" t="str">
        <f>IF($D78="","",SUMIFS(Weights!$P:$P,Weights!$C:$C,$F78))</f>
        <v/>
      </c>
      <c r="R78" s="4" t="str">
        <f>IF($D78="","",SUMIFS(Weights!$Q:$Q,Weights!$C:$C,$F78))</f>
        <v/>
      </c>
      <c r="S78" s="4" t="str">
        <f>IF($D78="","",SUMIFS(Weights!$R:$R,Weights!$C:$C,$F78))</f>
        <v/>
      </c>
      <c r="T78" s="4" t="str">
        <f>IF($D78="","",SUMIFS(Weights!$S:$S,Weights!$C:$C,$F78))</f>
        <v/>
      </c>
      <c r="U78" s="4" t="str">
        <f>IF($D78="","",SUMIFS(Weights!$T:$T,Weights!$C:$C,$F78))</f>
        <v/>
      </c>
      <c r="V78" s="4" t="str">
        <f>IF($D78="","",SUMIFS(Weights!$U:$U,Weights!$C:$C,$F78))</f>
        <v/>
      </c>
      <c r="W78" s="4" t="str">
        <f>IF($D78="","",SUMIFS(Weights!$V:$V,Weights!$C:$C,$F78))</f>
        <v/>
      </c>
      <c r="X78" s="4" t="str">
        <f>IF($D78="","",SUMIFS(Weights!$W:$W,Weights!$C:$C,$F78))</f>
        <v/>
      </c>
      <c r="Y78" s="4" t="str">
        <f>IF($D78="","",SUMIFS(Weights!$X:$X,Weights!$C:$C,$F78))</f>
        <v/>
      </c>
      <c r="Z78" s="4" t="str">
        <f>IF($D78="","",SUMIFS(Weights!$Y:$Y,Weights!$C:$C,$F78))</f>
        <v/>
      </c>
      <c r="AA78" s="4" t="str">
        <f>IF($D78="","",SUMIFS(Weights!$Z:$Z,Weights!$C:$C,$F78))</f>
        <v/>
      </c>
      <c r="AB78" s="4" t="str">
        <f>IF($D78="","",SUMIFS(Weights!$AA:$AA,Weights!$C:$C,$F78))</f>
        <v/>
      </c>
      <c r="AC78" s="4" t="str">
        <f>IF($D78="","",SUMIFS(Weights!$AB:$AB,Weights!$C:$C,$F78))</f>
        <v/>
      </c>
      <c r="AD78" s="4" t="str">
        <f>IF($D78="","",SUMIFS(Weights!$AC:$AC,Weights!$C:$C,$F78))</f>
        <v/>
      </c>
      <c r="AE78" s="4" t="str">
        <f>IF($D78="","",SUMIFS(Weights!$AD:$AD,Weights!$C:$C,$F78))</f>
        <v/>
      </c>
      <c r="AF78" s="4" t="str">
        <f>IF($D78="","",SUMIFS(Weights!$AE:$AE,Weights!$C:$C,$F78))</f>
        <v/>
      </c>
      <c r="AG78" s="4" t="str">
        <f>IF($D78="","",SUMIFS(Weights!$AF:$AF,Weights!$C:$C,$F78))</f>
        <v/>
      </c>
      <c r="AH78" s="4" t="str">
        <f>IF($D78="","",SUMIFS(Weights!$AG:$AG,Weights!$C:$C,$F78))</f>
        <v/>
      </c>
      <c r="AI78" s="4" t="str">
        <f>IF($D78="","",SUMIFS(Weights!$AH:$AH,Weights!$C:$C,$F78))</f>
        <v/>
      </c>
      <c r="AJ78" s="4" t="str">
        <f>IF($D78="","",SUMIFS(Weights!$AI:$AI,Weights!$C:$C,$F78))</f>
        <v/>
      </c>
      <c r="AK78" s="4" t="str">
        <f>IF($D78="","",SUMIFS(Weights!$AJ:$AJ,Weights!$C:$C,$F78))</f>
        <v/>
      </c>
      <c r="AL78" s="4" t="str">
        <f>IF($D78="","",SUMIFS(Weights!$AK:$AK,Weights!$C:$C,$F78))</f>
        <v/>
      </c>
      <c r="AM78" s="4" t="str">
        <f>IF($D78="","",SUMIFS(Weights!$AL:$AL,Weights!$C:$C,$F78))</f>
        <v/>
      </c>
    </row>
    <row r="79" spans="1:39" ht="30" x14ac:dyDescent="0.25">
      <c r="A79" s="4">
        <v>78</v>
      </c>
      <c r="B79" s="4" t="s">
        <v>304</v>
      </c>
      <c r="C79" s="4" t="s">
        <v>391</v>
      </c>
      <c r="D79" s="5" t="s">
        <v>878</v>
      </c>
      <c r="E79" s="4" t="str">
        <f>IF(D79="","",INDEX(Questions!$D$2:$G$81,MATCH(A79,Questions!$A$2:$A$81,0),MATCH(D79,{"A","B","C","D"},0)))</f>
        <v/>
      </c>
      <c r="F79" s="4" t="str">
        <f t="shared" si="2"/>
        <v>78|</v>
      </c>
      <c r="G79" s="4" t="str">
        <f>IF($D79="","",SUMIFS(Weights!$F:$F,Weights!$C:$C,$F79))</f>
        <v/>
      </c>
      <c r="H79" s="4" t="str">
        <f>IF($D79="","",SUMIFS(Weights!$G:$G,Weights!$C:$C,$F79))</f>
        <v/>
      </c>
      <c r="I79" s="4" t="str">
        <f>IF($D79="","",SUMIFS(Weights!$H:$H,Weights!$C:$C,$F79))</f>
        <v/>
      </c>
      <c r="J79" s="4" t="str">
        <f>IF($D79="","",SUMIFS(Weights!$I:$I,Weights!$C:$C,$F79))</f>
        <v/>
      </c>
      <c r="K79" s="4" t="str">
        <f>IF($D79="","",SUMIFS(Weights!$J:$J,Weights!$C:$C,$F79))</f>
        <v/>
      </c>
      <c r="L79" s="4" t="str">
        <f>IF($D79="","",SUMIFS(Weights!$K:$K,Weights!$C:$C,$F79))</f>
        <v/>
      </c>
      <c r="M79" s="4" t="str">
        <f>IF($D79="","",SUMIFS(Weights!$L:$L,Weights!$C:$C,$F79))</f>
        <v/>
      </c>
      <c r="N79" s="4" t="str">
        <f>IF($D79="","",SUMIFS(Weights!$M:$M,Weights!$C:$C,$F79))</f>
        <v/>
      </c>
      <c r="O79" s="4" t="str">
        <f>IF($D79="","",SUMIFS(Weights!$N:$N,Weights!$C:$C,$F79))</f>
        <v/>
      </c>
      <c r="P79" s="4" t="str">
        <f>IF($D79="","",SUMIFS(Weights!$O:$O,Weights!$C:$C,$F79))</f>
        <v/>
      </c>
      <c r="Q79" s="4" t="str">
        <f>IF($D79="","",SUMIFS(Weights!$P:$P,Weights!$C:$C,$F79))</f>
        <v/>
      </c>
      <c r="R79" s="4" t="str">
        <f>IF($D79="","",SUMIFS(Weights!$Q:$Q,Weights!$C:$C,$F79))</f>
        <v/>
      </c>
      <c r="S79" s="4" t="str">
        <f>IF($D79="","",SUMIFS(Weights!$R:$R,Weights!$C:$C,$F79))</f>
        <v/>
      </c>
      <c r="T79" s="4" t="str">
        <f>IF($D79="","",SUMIFS(Weights!$S:$S,Weights!$C:$C,$F79))</f>
        <v/>
      </c>
      <c r="U79" s="4" t="str">
        <f>IF($D79="","",SUMIFS(Weights!$T:$T,Weights!$C:$C,$F79))</f>
        <v/>
      </c>
      <c r="V79" s="4" t="str">
        <f>IF($D79="","",SUMIFS(Weights!$U:$U,Weights!$C:$C,$F79))</f>
        <v/>
      </c>
      <c r="W79" s="4" t="str">
        <f>IF($D79="","",SUMIFS(Weights!$V:$V,Weights!$C:$C,$F79))</f>
        <v/>
      </c>
      <c r="X79" s="4" t="str">
        <f>IF($D79="","",SUMIFS(Weights!$W:$W,Weights!$C:$C,$F79))</f>
        <v/>
      </c>
      <c r="Y79" s="4" t="str">
        <f>IF($D79="","",SUMIFS(Weights!$X:$X,Weights!$C:$C,$F79))</f>
        <v/>
      </c>
      <c r="Z79" s="4" t="str">
        <f>IF($D79="","",SUMIFS(Weights!$Y:$Y,Weights!$C:$C,$F79))</f>
        <v/>
      </c>
      <c r="AA79" s="4" t="str">
        <f>IF($D79="","",SUMIFS(Weights!$Z:$Z,Weights!$C:$C,$F79))</f>
        <v/>
      </c>
      <c r="AB79" s="4" t="str">
        <f>IF($D79="","",SUMIFS(Weights!$AA:$AA,Weights!$C:$C,$F79))</f>
        <v/>
      </c>
      <c r="AC79" s="4" t="str">
        <f>IF($D79="","",SUMIFS(Weights!$AB:$AB,Weights!$C:$C,$F79))</f>
        <v/>
      </c>
      <c r="AD79" s="4" t="str">
        <f>IF($D79="","",SUMIFS(Weights!$AC:$AC,Weights!$C:$C,$F79))</f>
        <v/>
      </c>
      <c r="AE79" s="4" t="str">
        <f>IF($D79="","",SUMIFS(Weights!$AD:$AD,Weights!$C:$C,$F79))</f>
        <v/>
      </c>
      <c r="AF79" s="4" t="str">
        <f>IF($D79="","",SUMIFS(Weights!$AE:$AE,Weights!$C:$C,$F79))</f>
        <v/>
      </c>
      <c r="AG79" s="4" t="str">
        <f>IF($D79="","",SUMIFS(Weights!$AF:$AF,Weights!$C:$C,$F79))</f>
        <v/>
      </c>
      <c r="AH79" s="4" t="str">
        <f>IF($D79="","",SUMIFS(Weights!$AG:$AG,Weights!$C:$C,$F79))</f>
        <v/>
      </c>
      <c r="AI79" s="4" t="str">
        <f>IF($D79="","",SUMIFS(Weights!$AH:$AH,Weights!$C:$C,$F79))</f>
        <v/>
      </c>
      <c r="AJ79" s="4" t="str">
        <f>IF($D79="","",SUMIFS(Weights!$AI:$AI,Weights!$C:$C,$F79))</f>
        <v/>
      </c>
      <c r="AK79" s="4" t="str">
        <f>IF($D79="","",SUMIFS(Weights!$AJ:$AJ,Weights!$C:$C,$F79))</f>
        <v/>
      </c>
      <c r="AL79" s="4" t="str">
        <f>IF($D79="","",SUMIFS(Weights!$AK:$AK,Weights!$C:$C,$F79))</f>
        <v/>
      </c>
      <c r="AM79" s="4" t="str">
        <f>IF($D79="","",SUMIFS(Weights!$AL:$AL,Weights!$C:$C,$F79))</f>
        <v/>
      </c>
    </row>
    <row r="80" spans="1:39" ht="30" x14ac:dyDescent="0.25">
      <c r="A80" s="4">
        <v>79</v>
      </c>
      <c r="B80" s="4" t="s">
        <v>304</v>
      </c>
      <c r="C80" s="4" t="s">
        <v>396</v>
      </c>
      <c r="D80" s="5" t="s">
        <v>878</v>
      </c>
      <c r="E80" s="4" t="str">
        <f>IF(D80="","",INDEX(Questions!$D$2:$G$81,MATCH(A80,Questions!$A$2:$A$81,0),MATCH(D80,{"A","B","C","D"},0)))</f>
        <v/>
      </c>
      <c r="F80" s="4" t="str">
        <f t="shared" si="2"/>
        <v>79|</v>
      </c>
      <c r="G80" s="4" t="str">
        <f>IF($D80="","",SUMIFS(Weights!$F:$F,Weights!$C:$C,$F80))</f>
        <v/>
      </c>
      <c r="H80" s="4" t="str">
        <f>IF($D80="","",SUMIFS(Weights!$G:$G,Weights!$C:$C,$F80))</f>
        <v/>
      </c>
      <c r="I80" s="4" t="str">
        <f>IF($D80="","",SUMIFS(Weights!$H:$H,Weights!$C:$C,$F80))</f>
        <v/>
      </c>
      <c r="J80" s="4" t="str">
        <f>IF($D80="","",SUMIFS(Weights!$I:$I,Weights!$C:$C,$F80))</f>
        <v/>
      </c>
      <c r="K80" s="4" t="str">
        <f>IF($D80="","",SUMIFS(Weights!$J:$J,Weights!$C:$C,$F80))</f>
        <v/>
      </c>
      <c r="L80" s="4" t="str">
        <f>IF($D80="","",SUMIFS(Weights!$K:$K,Weights!$C:$C,$F80))</f>
        <v/>
      </c>
      <c r="M80" s="4" t="str">
        <f>IF($D80="","",SUMIFS(Weights!$L:$L,Weights!$C:$C,$F80))</f>
        <v/>
      </c>
      <c r="N80" s="4" t="str">
        <f>IF($D80="","",SUMIFS(Weights!$M:$M,Weights!$C:$C,$F80))</f>
        <v/>
      </c>
      <c r="O80" s="4" t="str">
        <f>IF($D80="","",SUMIFS(Weights!$N:$N,Weights!$C:$C,$F80))</f>
        <v/>
      </c>
      <c r="P80" s="4" t="str">
        <f>IF($D80="","",SUMIFS(Weights!$O:$O,Weights!$C:$C,$F80))</f>
        <v/>
      </c>
      <c r="Q80" s="4" t="str">
        <f>IF($D80="","",SUMIFS(Weights!$P:$P,Weights!$C:$C,$F80))</f>
        <v/>
      </c>
      <c r="R80" s="4" t="str">
        <f>IF($D80="","",SUMIFS(Weights!$Q:$Q,Weights!$C:$C,$F80))</f>
        <v/>
      </c>
      <c r="S80" s="4" t="str">
        <f>IF($D80="","",SUMIFS(Weights!$R:$R,Weights!$C:$C,$F80))</f>
        <v/>
      </c>
      <c r="T80" s="4" t="str">
        <f>IF($D80="","",SUMIFS(Weights!$S:$S,Weights!$C:$C,$F80))</f>
        <v/>
      </c>
      <c r="U80" s="4" t="str">
        <f>IF($D80="","",SUMIFS(Weights!$T:$T,Weights!$C:$C,$F80))</f>
        <v/>
      </c>
      <c r="V80" s="4" t="str">
        <f>IF($D80="","",SUMIFS(Weights!$U:$U,Weights!$C:$C,$F80))</f>
        <v/>
      </c>
      <c r="W80" s="4" t="str">
        <f>IF($D80="","",SUMIFS(Weights!$V:$V,Weights!$C:$C,$F80))</f>
        <v/>
      </c>
      <c r="X80" s="4" t="str">
        <f>IF($D80="","",SUMIFS(Weights!$W:$W,Weights!$C:$C,$F80))</f>
        <v/>
      </c>
      <c r="Y80" s="4" t="str">
        <f>IF($D80="","",SUMIFS(Weights!$X:$X,Weights!$C:$C,$F80))</f>
        <v/>
      </c>
      <c r="Z80" s="4" t="str">
        <f>IF($D80="","",SUMIFS(Weights!$Y:$Y,Weights!$C:$C,$F80))</f>
        <v/>
      </c>
      <c r="AA80" s="4" t="str">
        <f>IF($D80="","",SUMIFS(Weights!$Z:$Z,Weights!$C:$C,$F80))</f>
        <v/>
      </c>
      <c r="AB80" s="4" t="str">
        <f>IF($D80="","",SUMIFS(Weights!$AA:$AA,Weights!$C:$C,$F80))</f>
        <v/>
      </c>
      <c r="AC80" s="4" t="str">
        <f>IF($D80="","",SUMIFS(Weights!$AB:$AB,Weights!$C:$C,$F80))</f>
        <v/>
      </c>
      <c r="AD80" s="4" t="str">
        <f>IF($D80="","",SUMIFS(Weights!$AC:$AC,Weights!$C:$C,$F80))</f>
        <v/>
      </c>
      <c r="AE80" s="4" t="str">
        <f>IF($D80="","",SUMIFS(Weights!$AD:$AD,Weights!$C:$C,$F80))</f>
        <v/>
      </c>
      <c r="AF80" s="4" t="str">
        <f>IF($D80="","",SUMIFS(Weights!$AE:$AE,Weights!$C:$C,$F80))</f>
        <v/>
      </c>
      <c r="AG80" s="4" t="str">
        <f>IF($D80="","",SUMIFS(Weights!$AF:$AF,Weights!$C:$C,$F80))</f>
        <v/>
      </c>
      <c r="AH80" s="4" t="str">
        <f>IF($D80="","",SUMIFS(Weights!$AG:$AG,Weights!$C:$C,$F80))</f>
        <v/>
      </c>
      <c r="AI80" s="4" t="str">
        <f>IF($D80="","",SUMIFS(Weights!$AH:$AH,Weights!$C:$C,$F80))</f>
        <v/>
      </c>
      <c r="AJ80" s="4" t="str">
        <f>IF($D80="","",SUMIFS(Weights!$AI:$AI,Weights!$C:$C,$F80))</f>
        <v/>
      </c>
      <c r="AK80" s="4" t="str">
        <f>IF($D80="","",SUMIFS(Weights!$AJ:$AJ,Weights!$C:$C,$F80))</f>
        <v/>
      </c>
      <c r="AL80" s="4" t="str">
        <f>IF($D80="","",SUMIFS(Weights!$AK:$AK,Weights!$C:$C,$F80))</f>
        <v/>
      </c>
      <c r="AM80" s="4" t="str">
        <f>IF($D80="","",SUMIFS(Weights!$AL:$AL,Weights!$C:$C,$F80))</f>
        <v/>
      </c>
    </row>
    <row r="81" spans="1:39" ht="30" x14ac:dyDescent="0.25">
      <c r="A81" s="4">
        <v>80</v>
      </c>
      <c r="B81" s="4" t="s">
        <v>304</v>
      </c>
      <c r="C81" s="4" t="s">
        <v>399</v>
      </c>
      <c r="D81" s="5" t="s">
        <v>878</v>
      </c>
      <c r="E81" s="4" t="str">
        <f>IF(D81="","",INDEX(Questions!$D$2:$G$81,MATCH(A81,Questions!$A$2:$A$81,0),MATCH(D81,{"A","B","C","D"},0)))</f>
        <v/>
      </c>
      <c r="F81" s="4" t="str">
        <f t="shared" si="2"/>
        <v>80|</v>
      </c>
      <c r="G81" s="4" t="str">
        <f>IF($D81="","",SUMIFS(Weights!$F:$F,Weights!$C:$C,$F81))</f>
        <v/>
      </c>
      <c r="H81" s="4" t="str">
        <f>IF($D81="","",SUMIFS(Weights!$G:$G,Weights!$C:$C,$F81))</f>
        <v/>
      </c>
      <c r="I81" s="4" t="str">
        <f>IF($D81="","",SUMIFS(Weights!$H:$H,Weights!$C:$C,$F81))</f>
        <v/>
      </c>
      <c r="J81" s="4" t="str">
        <f>IF($D81="","",SUMIFS(Weights!$I:$I,Weights!$C:$C,$F81))</f>
        <v/>
      </c>
      <c r="K81" s="4" t="str">
        <f>IF($D81="","",SUMIFS(Weights!$J:$J,Weights!$C:$C,$F81))</f>
        <v/>
      </c>
      <c r="L81" s="4" t="str">
        <f>IF($D81="","",SUMIFS(Weights!$K:$K,Weights!$C:$C,$F81))</f>
        <v/>
      </c>
      <c r="M81" s="4" t="str">
        <f>IF($D81="","",SUMIFS(Weights!$L:$L,Weights!$C:$C,$F81))</f>
        <v/>
      </c>
      <c r="N81" s="4" t="str">
        <f>IF($D81="","",SUMIFS(Weights!$M:$M,Weights!$C:$C,$F81))</f>
        <v/>
      </c>
      <c r="O81" s="4" t="str">
        <f>IF($D81="","",SUMIFS(Weights!$N:$N,Weights!$C:$C,$F81))</f>
        <v/>
      </c>
      <c r="P81" s="4" t="str">
        <f>IF($D81="","",SUMIFS(Weights!$O:$O,Weights!$C:$C,$F81))</f>
        <v/>
      </c>
      <c r="Q81" s="4" t="str">
        <f>IF($D81="","",SUMIFS(Weights!$P:$P,Weights!$C:$C,$F81))</f>
        <v/>
      </c>
      <c r="R81" s="4" t="str">
        <f>IF($D81="","",SUMIFS(Weights!$Q:$Q,Weights!$C:$C,$F81))</f>
        <v/>
      </c>
      <c r="S81" s="4" t="str">
        <f>IF($D81="","",SUMIFS(Weights!$R:$R,Weights!$C:$C,$F81))</f>
        <v/>
      </c>
      <c r="T81" s="4" t="str">
        <f>IF($D81="","",SUMIFS(Weights!$S:$S,Weights!$C:$C,$F81))</f>
        <v/>
      </c>
      <c r="U81" s="4" t="str">
        <f>IF($D81="","",SUMIFS(Weights!$T:$T,Weights!$C:$C,$F81))</f>
        <v/>
      </c>
      <c r="V81" s="4" t="str">
        <f>IF($D81="","",SUMIFS(Weights!$U:$U,Weights!$C:$C,$F81))</f>
        <v/>
      </c>
      <c r="W81" s="4" t="str">
        <f>IF($D81="","",SUMIFS(Weights!$V:$V,Weights!$C:$C,$F81))</f>
        <v/>
      </c>
      <c r="X81" s="4" t="str">
        <f>IF($D81="","",SUMIFS(Weights!$W:$W,Weights!$C:$C,$F81))</f>
        <v/>
      </c>
      <c r="Y81" s="4" t="str">
        <f>IF($D81="","",SUMIFS(Weights!$X:$X,Weights!$C:$C,$F81))</f>
        <v/>
      </c>
      <c r="Z81" s="4" t="str">
        <f>IF($D81="","",SUMIFS(Weights!$Y:$Y,Weights!$C:$C,$F81))</f>
        <v/>
      </c>
      <c r="AA81" s="4" t="str">
        <f>IF($D81="","",SUMIFS(Weights!$Z:$Z,Weights!$C:$C,$F81))</f>
        <v/>
      </c>
      <c r="AB81" s="4" t="str">
        <f>IF($D81="","",SUMIFS(Weights!$AA:$AA,Weights!$C:$C,$F81))</f>
        <v/>
      </c>
      <c r="AC81" s="4" t="str">
        <f>IF($D81="","",SUMIFS(Weights!$AB:$AB,Weights!$C:$C,$F81))</f>
        <v/>
      </c>
      <c r="AD81" s="4" t="str">
        <f>IF($D81="","",SUMIFS(Weights!$AC:$AC,Weights!$C:$C,$F81))</f>
        <v/>
      </c>
      <c r="AE81" s="4" t="str">
        <f>IF($D81="","",SUMIFS(Weights!$AD:$AD,Weights!$C:$C,$F81))</f>
        <v/>
      </c>
      <c r="AF81" s="4" t="str">
        <f>IF($D81="","",SUMIFS(Weights!$AE:$AE,Weights!$C:$C,$F81))</f>
        <v/>
      </c>
      <c r="AG81" s="4" t="str">
        <f>IF($D81="","",SUMIFS(Weights!$AF:$AF,Weights!$C:$C,$F81))</f>
        <v/>
      </c>
      <c r="AH81" s="4" t="str">
        <f>IF($D81="","",SUMIFS(Weights!$AG:$AG,Weights!$C:$C,$F81))</f>
        <v/>
      </c>
      <c r="AI81" s="4" t="str">
        <f>IF($D81="","",SUMIFS(Weights!$AH:$AH,Weights!$C:$C,$F81))</f>
        <v/>
      </c>
      <c r="AJ81" s="4" t="str">
        <f>IF($D81="","",SUMIFS(Weights!$AI:$AI,Weights!$C:$C,$F81))</f>
        <v/>
      </c>
      <c r="AK81" s="4" t="str">
        <f>IF($D81="","",SUMIFS(Weights!$AJ:$AJ,Weights!$C:$C,$F81))</f>
        <v/>
      </c>
      <c r="AL81" s="4" t="str">
        <f>IF($D81="","",SUMIFS(Weights!$AK:$AK,Weights!$C:$C,$F81))</f>
        <v/>
      </c>
      <c r="AM81" s="4" t="str">
        <f>IF($D81="","",SUMIFS(Weights!$AL:$AL,Weights!$C:$C,$F81))</f>
        <v/>
      </c>
    </row>
  </sheetData>
  <dataValidations count="1">
    <dataValidation type="list" allowBlank="1" sqref="D2:D81" xr:uid="{00000000-0002-0000-0700-000000000000}">
      <formula1>"A,B,C,D"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2"/>
  <sheetViews>
    <sheetView workbookViewId="0"/>
  </sheetViews>
  <sheetFormatPr defaultRowHeight="15" x14ac:dyDescent="0.25"/>
  <cols>
    <col min="1" max="1" width="24" customWidth="1"/>
    <col min="2" max="5" width="12.7109375" customWidth="1"/>
    <col min="6" max="6" width="26" customWidth="1"/>
    <col min="7" max="7" width="32" customWidth="1"/>
  </cols>
  <sheetData>
    <row r="1" spans="1:7" ht="18.75" x14ac:dyDescent="0.3">
      <c r="A1" s="1" t="s">
        <v>879</v>
      </c>
    </row>
    <row r="3" spans="1:7" ht="45" x14ac:dyDescent="0.25">
      <c r="A3" s="3" t="s">
        <v>880</v>
      </c>
      <c r="B3" s="3" t="s">
        <v>491</v>
      </c>
      <c r="C3" s="3" t="s">
        <v>493</v>
      </c>
      <c r="D3" s="3" t="s">
        <v>495</v>
      </c>
      <c r="E3" s="3" t="s">
        <v>497</v>
      </c>
      <c r="F3" s="3"/>
      <c r="G3" s="3"/>
    </row>
    <row r="4" spans="1:7" x14ac:dyDescent="0.25">
      <c r="A4" s="6" t="s">
        <v>881</v>
      </c>
      <c r="B4" s="7">
        <v>25</v>
      </c>
      <c r="C4" s="7">
        <v>25</v>
      </c>
      <c r="D4" s="7">
        <v>25</v>
      </c>
      <c r="E4" s="7">
        <v>25</v>
      </c>
    </row>
    <row r="7" spans="1:7" x14ac:dyDescent="0.25">
      <c r="A7" s="4"/>
      <c r="B7" s="4"/>
      <c r="C7" s="4"/>
      <c r="D7" s="4"/>
      <c r="E7" s="4"/>
      <c r="F7" s="8" t="s">
        <v>882</v>
      </c>
      <c r="G7" s="4"/>
    </row>
    <row r="8" spans="1:7" x14ac:dyDescent="0.25">
      <c r="A8" s="9" t="s">
        <v>56</v>
      </c>
      <c r="B8" s="4"/>
      <c r="C8" s="4"/>
      <c r="D8" s="4"/>
      <c r="E8" s="4"/>
      <c r="F8" s="8" t="s">
        <v>883</v>
      </c>
      <c r="G8" s="4" t="str">
        <f>INDEX($A$9:$A$12,MATCH(MAX($B$9:$B$12),$B$9:$B$12,0))</f>
        <v>Style Driver</v>
      </c>
    </row>
    <row r="9" spans="1:7" x14ac:dyDescent="0.25">
      <c r="A9" s="4" t="s">
        <v>884</v>
      </c>
      <c r="B9" s="4">
        <f>SUM(Responses!$G$2:$G$81)</f>
        <v>0</v>
      </c>
      <c r="C9" s="10">
        <f>IF(SUM($B$9:$B$12)=0,0,B9/SUM($B$9:$B$12))</f>
        <v>0</v>
      </c>
      <c r="D9" s="4" t="str">
        <f>IF(C9&lt;=Thresholds!$B$2,"Low",IF(C9&lt;=Thresholds!$C$2,"Medium","High"))</f>
        <v>Low</v>
      </c>
      <c r="E9" s="4"/>
      <c r="F9" s="8" t="s">
        <v>885</v>
      </c>
      <c r="G9" s="4" t="str">
        <f>INDEX($A$9:$A$12,MATCH(LARGE($B$9:$B$12,2),$B$9:$B$12,0))</f>
        <v>Style Driver</v>
      </c>
    </row>
    <row r="10" spans="1:7" x14ac:dyDescent="0.25">
      <c r="A10" s="4" t="s">
        <v>886</v>
      </c>
      <c r="B10" s="4">
        <f>SUM(Responses!$H$2:$H$81)</f>
        <v>0</v>
      </c>
      <c r="C10" s="10">
        <f>IF(SUM($B$9:$B$12)=0,0,B10/SUM($B$9:$B$12))</f>
        <v>0</v>
      </c>
      <c r="D10" s="4" t="str">
        <f>IF(C10&lt;=Thresholds!$B$2,"Low",IF(C10&lt;=Thresholds!$C$2,"Medium","High"))</f>
        <v>Low</v>
      </c>
      <c r="E10" s="4"/>
      <c r="F10" s="8" t="s">
        <v>420</v>
      </c>
      <c r="G10" s="4" t="str">
        <f>IFERROR(INDEX(Archetypes!$C$2:$C$13,MATCH(SUBSTITUTE(G8,"Style ","")&amp;"|"&amp;SUBSTITUTE(G9,"Style ",""),Archetypes!$E$2:$E$13,0)),"Review mapping")</f>
        <v>Review mapping</v>
      </c>
    </row>
    <row r="11" spans="1:7" x14ac:dyDescent="0.25">
      <c r="A11" s="4" t="s">
        <v>887</v>
      </c>
      <c r="B11" s="4">
        <f>SUM(Responses!$I$2:$I$81)</f>
        <v>0</v>
      </c>
      <c r="C11" s="10">
        <f>IF(SUM($B$9:$B$12)=0,0,B11/SUM($B$9:$B$12))</f>
        <v>0</v>
      </c>
      <c r="D11" s="4" t="str">
        <f>IF(C11&lt;=Thresholds!$B$2,"Low",IF(C11&lt;=Thresholds!$C$2,"Medium","High"))</f>
        <v>Low</v>
      </c>
      <c r="E11" s="4"/>
      <c r="F11" s="8" t="s">
        <v>888</v>
      </c>
      <c r="G11" s="4" t="str">
        <f>INDEX($A$16:$A$19,MATCH(MAX($B$16:$B$19),$B$16:$B$19,0))</f>
        <v>Mot Achievement</v>
      </c>
    </row>
    <row r="12" spans="1:7" x14ac:dyDescent="0.25">
      <c r="A12" s="4" t="s">
        <v>889</v>
      </c>
      <c r="B12" s="4">
        <f>SUM(Responses!$J$2:$J$81)</f>
        <v>0</v>
      </c>
      <c r="C12" s="10">
        <f>IF(SUM($B$9:$B$12)=0,0,B12/SUM($B$9:$B$12))</f>
        <v>0</v>
      </c>
      <c r="D12" s="4" t="str">
        <f>IF(C12&lt;=Thresholds!$B$2,"Low",IF(C12&lt;=Thresholds!$C$2,"Medium","High"))</f>
        <v>Low</v>
      </c>
      <c r="E12" s="4"/>
      <c r="F12" s="8" t="s">
        <v>890</v>
      </c>
      <c r="G12" s="4" t="str">
        <f>INDEX($A$23:$A$26,MATCH(MAX($B$23:$B$26),$B$23:$B$26,0))</f>
        <v>Lead Results</v>
      </c>
    </row>
    <row r="13" spans="1:7" x14ac:dyDescent="0.25">
      <c r="A13" s="4"/>
      <c r="B13" s="4"/>
      <c r="C13" s="4"/>
      <c r="D13" s="4"/>
      <c r="E13" s="4"/>
      <c r="F13" s="8" t="s">
        <v>891</v>
      </c>
      <c r="G13" s="4" t="str">
        <f>INDEX($A$30:$A$34,MATCH(MAX($B$30:$B$34),$B$30:$B$34,0))</f>
        <v>Conflict Compete</v>
      </c>
    </row>
    <row r="14" spans="1:7" x14ac:dyDescent="0.25">
      <c r="A14" s="4"/>
      <c r="B14" s="4"/>
      <c r="C14" s="4"/>
      <c r="D14" s="4"/>
      <c r="E14" s="4"/>
      <c r="F14" s="8" t="s">
        <v>892</v>
      </c>
      <c r="G14" s="4" t="str">
        <f>INDEX($A$45:$A$48,MATCH(MAX($B$45:$B$48),$B$45:$B$48,0))</f>
        <v>Stress Control</v>
      </c>
    </row>
    <row r="15" spans="1:7" x14ac:dyDescent="0.25">
      <c r="A15" s="9" t="s">
        <v>893</v>
      </c>
      <c r="B15" s="4"/>
      <c r="C15" s="4"/>
      <c r="D15" s="4"/>
      <c r="E15" s="4"/>
      <c r="F15" s="8" t="s">
        <v>263</v>
      </c>
      <c r="G15" s="4" t="str">
        <f>INDEX($A$38:$A$41,MATCH(MAX($B$38:$B$41),$B$38:$B$41,0))</f>
        <v>Culture Market</v>
      </c>
    </row>
    <row r="16" spans="1:7" x14ac:dyDescent="0.25">
      <c r="A16" s="4" t="s">
        <v>894</v>
      </c>
      <c r="B16" s="4">
        <f>SUM(Responses!$K$2:$K$81)</f>
        <v>0</v>
      </c>
      <c r="C16" s="10">
        <f>IF(SUM($B$16:$B$19)=0,0,B16/SUM($B$16:$B$19))</f>
        <v>0</v>
      </c>
      <c r="D16" s="4" t="str">
        <f>IF(C16&lt;=Thresholds!$B$2,"Low",IF(C16&lt;=Thresholds!$C$2,"Medium","High"))</f>
        <v>Low</v>
      </c>
      <c r="E16" s="4"/>
      <c r="F16" s="8" t="s">
        <v>895</v>
      </c>
      <c r="G16" s="4" t="str">
        <f>INDEX($A$52:$A$55,MATCH(MAX($B$52:$B$55),$B$52:$B$55,0))</f>
        <v>Decision Agility</v>
      </c>
    </row>
    <row r="17" spans="1:7" x14ac:dyDescent="0.25">
      <c r="A17" s="4" t="s">
        <v>896</v>
      </c>
      <c r="B17" s="4">
        <f>SUM(Responses!$L$2:$L$81)</f>
        <v>0</v>
      </c>
      <c r="C17" s="10">
        <f>IF(SUM($B$16:$B$19)=0,0,B17/SUM($B$16:$B$19))</f>
        <v>0</v>
      </c>
      <c r="D17" s="4" t="str">
        <f>IF(C17&lt;=Thresholds!$B$2,"Low",IF(C17&lt;=Thresholds!$C$2,"Medium","High"))</f>
        <v>Low</v>
      </c>
      <c r="E17" s="4"/>
      <c r="F17" s="8" t="s">
        <v>897</v>
      </c>
      <c r="G17" s="4" t="str">
        <f>INDEX($A$59:$A$62,MATCH(MAX($B$59:$B$62),$B$59:$B$62,0))</f>
        <v>Commercial Leadership</v>
      </c>
    </row>
    <row r="18" spans="1:7" x14ac:dyDescent="0.25">
      <c r="A18" s="4" t="s">
        <v>898</v>
      </c>
      <c r="B18" s="4">
        <f>SUM(Responses!$M$2:$M$81)</f>
        <v>0</v>
      </c>
      <c r="C18" s="10">
        <f>IF(SUM($B$16:$B$19)=0,0,B18/SUM($B$16:$B$19))</f>
        <v>0</v>
      </c>
      <c r="D18" s="4" t="str">
        <f>IF(C18&lt;=Thresholds!$B$2,"Low",IF(C18&lt;=Thresholds!$C$2,"Medium","High"))</f>
        <v>Low</v>
      </c>
      <c r="E18" s="4"/>
      <c r="F18" s="8" t="s">
        <v>899</v>
      </c>
      <c r="G18" s="10">
        <f>ROUND(AVERAGE($C$23:$C$26,$C$9:$C$12),3)</f>
        <v>0</v>
      </c>
    </row>
    <row r="19" spans="1:7" x14ac:dyDescent="0.25">
      <c r="A19" s="4" t="s">
        <v>900</v>
      </c>
      <c r="B19" s="4">
        <f>SUM(Responses!$N$2:$N$81)</f>
        <v>0</v>
      </c>
      <c r="C19" s="10">
        <f>IF(SUM($B$16:$B$19)=0,0,B19/SUM($B$16:$B$19))</f>
        <v>0</v>
      </c>
      <c r="D19" s="4" t="str">
        <f>IF(C19&lt;=Thresholds!$B$2,"Low",IF(C19&lt;=Thresholds!$C$2,"Medium","High"))</f>
        <v>Low</v>
      </c>
      <c r="E19" s="4"/>
      <c r="F19" s="8" t="s">
        <v>901</v>
      </c>
      <c r="G19" s="10">
        <f>AVERAGE(ABS($C$38-B4/100),ABS($C$39-C4/100),ABS($C$40-D4/100),ABS($C$41-E4/100))</f>
        <v>0.25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9" t="s">
        <v>466</v>
      </c>
      <c r="B22" s="4"/>
      <c r="C22" s="4"/>
      <c r="D22" s="4"/>
      <c r="E22" s="4"/>
      <c r="F22" s="4"/>
      <c r="G22" s="4"/>
    </row>
    <row r="23" spans="1:7" x14ac:dyDescent="0.25">
      <c r="A23" s="4" t="s">
        <v>902</v>
      </c>
      <c r="B23" s="4">
        <f>SUM(Responses!$O$2:$O$81)</f>
        <v>0</v>
      </c>
      <c r="C23" s="10">
        <f>IF(SUM($B$23:$B$26)=0,0,B23/SUM($B$23:$B$26))</f>
        <v>0</v>
      </c>
      <c r="D23" s="4" t="str">
        <f>IF(C23&lt;=Thresholds!$B$2,"Low",IF(C23&lt;=Thresholds!$C$2,"Medium","High"))</f>
        <v>Low</v>
      </c>
      <c r="E23" s="4"/>
      <c r="F23" s="4"/>
      <c r="G23" s="4"/>
    </row>
    <row r="24" spans="1:7" x14ac:dyDescent="0.25">
      <c r="A24" s="4" t="s">
        <v>903</v>
      </c>
      <c r="B24" s="4">
        <f>SUM(Responses!$P$2:$P$81)</f>
        <v>0</v>
      </c>
      <c r="C24" s="10">
        <f>IF(SUM($B$23:$B$26)=0,0,B24/SUM($B$23:$B$26))</f>
        <v>0</v>
      </c>
      <c r="D24" s="4" t="str">
        <f>IF(C24&lt;=Thresholds!$B$2,"Low",IF(C24&lt;=Thresholds!$C$2,"Medium","High"))</f>
        <v>Low</v>
      </c>
      <c r="E24" s="4"/>
      <c r="F24" s="4"/>
      <c r="G24" s="4"/>
    </row>
    <row r="25" spans="1:7" x14ac:dyDescent="0.25">
      <c r="A25" s="4" t="s">
        <v>904</v>
      </c>
      <c r="B25" s="4">
        <f>SUM(Responses!$Q$2:$Q$81)</f>
        <v>0</v>
      </c>
      <c r="C25" s="10">
        <f>IF(SUM($B$23:$B$26)=0,0,B25/SUM($B$23:$B$26))</f>
        <v>0</v>
      </c>
      <c r="D25" s="4" t="str">
        <f>IF(C25&lt;=Thresholds!$B$2,"Low",IF(C25&lt;=Thresholds!$C$2,"Medium","High"))</f>
        <v>Low</v>
      </c>
      <c r="E25" s="4"/>
      <c r="F25" s="4"/>
      <c r="G25" s="4"/>
    </row>
    <row r="26" spans="1:7" x14ac:dyDescent="0.25">
      <c r="A26" s="4" t="s">
        <v>905</v>
      </c>
      <c r="B26" s="4">
        <f>SUM(Responses!$R$2:$R$81)</f>
        <v>0</v>
      </c>
      <c r="C26" s="10">
        <f>IF(SUM($B$23:$B$26)=0,0,B26/SUM($B$23:$B$26))</f>
        <v>0</v>
      </c>
      <c r="D26" s="4" t="str">
        <f>IF(C26&lt;=Thresholds!$B$2,"Low",IF(C26&lt;=Thresholds!$C$2,"Medium","High"))</f>
        <v>Low</v>
      </c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9" t="s">
        <v>473</v>
      </c>
      <c r="B29" s="4"/>
      <c r="C29" s="4"/>
      <c r="D29" s="4"/>
      <c r="E29" s="4"/>
      <c r="F29" s="4"/>
      <c r="G29" s="4"/>
    </row>
    <row r="30" spans="1:7" x14ac:dyDescent="0.25">
      <c r="A30" s="4" t="s">
        <v>906</v>
      </c>
      <c r="B30" s="4">
        <f>SUM(Responses!$S$2:$S$81)</f>
        <v>0</v>
      </c>
      <c r="C30" s="10">
        <f>IF(SUM($B$30:$B$34)=0,0,B30/SUM($B$30:$B$34))</f>
        <v>0</v>
      </c>
      <c r="D30" s="4" t="str">
        <f>IF(C30&lt;=Thresholds!$B$2,"Low",IF(C30&lt;=Thresholds!$C$2,"Medium","High"))</f>
        <v>Low</v>
      </c>
      <c r="E30" s="4"/>
      <c r="F30" s="4"/>
      <c r="G30" s="4"/>
    </row>
    <row r="31" spans="1:7" x14ac:dyDescent="0.25">
      <c r="A31" s="4" t="s">
        <v>907</v>
      </c>
      <c r="B31" s="4">
        <f>SUM(Responses!$T$2:$T$81)</f>
        <v>0</v>
      </c>
      <c r="C31" s="10">
        <f>IF(SUM($B$30:$B$34)=0,0,B31/SUM($B$30:$B$34))</f>
        <v>0</v>
      </c>
      <c r="D31" s="4" t="str">
        <f>IF(C31&lt;=Thresholds!$B$2,"Low",IF(C31&lt;=Thresholds!$C$2,"Medium","High"))</f>
        <v>Low</v>
      </c>
      <c r="E31" s="4"/>
      <c r="F31" s="4"/>
      <c r="G31" s="4"/>
    </row>
    <row r="32" spans="1:7" x14ac:dyDescent="0.25">
      <c r="A32" s="4" t="s">
        <v>908</v>
      </c>
      <c r="B32" s="4">
        <f>SUM(Responses!$U$2:$U$81)</f>
        <v>0</v>
      </c>
      <c r="C32" s="10">
        <f>IF(SUM($B$30:$B$34)=0,0,B32/SUM($B$30:$B$34))</f>
        <v>0</v>
      </c>
      <c r="D32" s="4" t="str">
        <f>IF(C32&lt;=Thresholds!$B$2,"Low",IF(C32&lt;=Thresholds!$C$2,"Medium","High"))</f>
        <v>Low</v>
      </c>
      <c r="E32" s="4"/>
      <c r="F32" s="4"/>
      <c r="G32" s="4"/>
    </row>
    <row r="33" spans="1:7" x14ac:dyDescent="0.25">
      <c r="A33" s="4" t="s">
        <v>909</v>
      </c>
      <c r="B33" s="4">
        <f>SUM(Responses!$V$2:$V$81)</f>
        <v>0</v>
      </c>
      <c r="C33" s="10">
        <f>IF(SUM($B$30:$B$34)=0,0,B33/SUM($B$30:$B$34))</f>
        <v>0</v>
      </c>
      <c r="D33" s="4" t="str">
        <f>IF(C33&lt;=Thresholds!$B$2,"Low",IF(C33&lt;=Thresholds!$C$2,"Medium","High"))</f>
        <v>Low</v>
      </c>
      <c r="E33" s="4"/>
      <c r="F33" s="4"/>
      <c r="G33" s="4"/>
    </row>
    <row r="34" spans="1:7" x14ac:dyDescent="0.25">
      <c r="A34" s="4" t="s">
        <v>910</v>
      </c>
      <c r="B34" s="4">
        <f>SUM(Responses!$W$2:$W$81)</f>
        <v>0</v>
      </c>
      <c r="C34" s="10">
        <f>IF(SUM($B$30:$B$34)=0,0,B34/SUM($B$30:$B$34))</f>
        <v>0</v>
      </c>
      <c r="D34" s="4" t="str">
        <f>IF(C34&lt;=Thresholds!$B$2,"Low",IF(C34&lt;=Thresholds!$C$2,"Medium","High"))</f>
        <v>Low</v>
      </c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9" t="s">
        <v>490</v>
      </c>
      <c r="B37" s="4"/>
      <c r="C37" s="4"/>
      <c r="D37" s="4"/>
      <c r="E37" s="4"/>
      <c r="F37" s="4"/>
      <c r="G37" s="4"/>
    </row>
    <row r="38" spans="1:7" x14ac:dyDescent="0.25">
      <c r="A38" s="4" t="s">
        <v>911</v>
      </c>
      <c r="B38" s="4">
        <f>SUM(Responses!$X$2:$X$81)</f>
        <v>0</v>
      </c>
      <c r="C38" s="10">
        <f>IF(SUM($B$38:$B$41)=0,0,B38/SUM($B$38:$B$41))</f>
        <v>0</v>
      </c>
      <c r="D38" s="4" t="str">
        <f>IF(C38&lt;=Thresholds!$B$2,"Low",IF(C38&lt;=Thresholds!$C$2,"Medium","High"))</f>
        <v>Low</v>
      </c>
      <c r="E38" s="4"/>
      <c r="F38" s="4"/>
      <c r="G38" s="4"/>
    </row>
    <row r="39" spans="1:7" x14ac:dyDescent="0.25">
      <c r="A39" s="4" t="s">
        <v>912</v>
      </c>
      <c r="B39" s="4">
        <f>SUM(Responses!$Y$2:$Y$81)</f>
        <v>0</v>
      </c>
      <c r="C39" s="10">
        <f>IF(SUM($B$38:$B$41)=0,0,B39/SUM($B$38:$B$41))</f>
        <v>0</v>
      </c>
      <c r="D39" s="4" t="str">
        <f>IF(C39&lt;=Thresholds!$B$2,"Low",IF(C39&lt;=Thresholds!$C$2,"Medium","High"))</f>
        <v>Low</v>
      </c>
      <c r="E39" s="4"/>
      <c r="F39" s="4"/>
      <c r="G39" s="4"/>
    </row>
    <row r="40" spans="1:7" x14ac:dyDescent="0.25">
      <c r="A40" s="4" t="s">
        <v>913</v>
      </c>
      <c r="B40" s="4">
        <f>SUM(Responses!$Z$2:$Z$81)</f>
        <v>0</v>
      </c>
      <c r="C40" s="10">
        <f>IF(SUM($B$38:$B$41)=0,0,B40/SUM($B$38:$B$41))</f>
        <v>0</v>
      </c>
      <c r="D40" s="4" t="str">
        <f>IF(C40&lt;=Thresholds!$B$2,"Low",IF(C40&lt;=Thresholds!$C$2,"Medium","High"))</f>
        <v>Low</v>
      </c>
      <c r="E40" s="4"/>
      <c r="F40" s="4"/>
      <c r="G40" s="4"/>
    </row>
    <row r="41" spans="1:7" x14ac:dyDescent="0.25">
      <c r="A41" s="4" t="s">
        <v>914</v>
      </c>
      <c r="B41" s="4">
        <f>SUM(Responses!$AA$2:$AA$81)</f>
        <v>0</v>
      </c>
      <c r="C41" s="10">
        <f>IF(SUM($B$38:$B$41)=0,0,B41/SUM($B$38:$B$41))</f>
        <v>0</v>
      </c>
      <c r="D41" s="4" t="str">
        <f>IF(C41&lt;=Thresholds!$B$2,"Low",IF(C41&lt;=Thresholds!$C$2,"Medium","High"))</f>
        <v>Low</v>
      </c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9" t="s">
        <v>915</v>
      </c>
      <c r="B44" s="4"/>
      <c r="C44" s="4"/>
      <c r="D44" s="4"/>
      <c r="E44" s="4"/>
      <c r="F44" s="4"/>
      <c r="G44" s="4"/>
    </row>
    <row r="45" spans="1:7" x14ac:dyDescent="0.25">
      <c r="A45" s="4" t="s">
        <v>916</v>
      </c>
      <c r="B45" s="4">
        <f>SUM(Responses!$AB$2:$AB$81)</f>
        <v>0</v>
      </c>
      <c r="C45" s="10">
        <f>IF(SUM($B$45:$B$48)=0,0,B45/SUM($B$45:$B$48))</f>
        <v>0</v>
      </c>
      <c r="D45" s="4" t="str">
        <f>IF(C45&lt;=Thresholds!$B$2,"Low",IF(C45&lt;=Thresholds!$C$2,"Medium","High"))</f>
        <v>Low</v>
      </c>
      <c r="E45" s="4"/>
      <c r="F45" s="4"/>
      <c r="G45" s="4"/>
    </row>
    <row r="46" spans="1:7" x14ac:dyDescent="0.25">
      <c r="A46" s="4" t="s">
        <v>917</v>
      </c>
      <c r="B46" s="4">
        <f>SUM(Responses!$AC$2:$AC$81)</f>
        <v>0</v>
      </c>
      <c r="C46" s="10">
        <f>IF(SUM($B$45:$B$48)=0,0,B46/SUM($B$45:$B$48))</f>
        <v>0</v>
      </c>
      <c r="D46" s="4" t="str">
        <f>IF(C46&lt;=Thresholds!$B$2,"Low",IF(C46&lt;=Thresholds!$C$2,"Medium","High"))</f>
        <v>Low</v>
      </c>
      <c r="E46" s="4"/>
      <c r="F46" s="4"/>
      <c r="G46" s="4"/>
    </row>
    <row r="47" spans="1:7" x14ac:dyDescent="0.25">
      <c r="A47" s="4" t="s">
        <v>918</v>
      </c>
      <c r="B47" s="4">
        <f>SUM(Responses!$AD$2:$AD$81)</f>
        <v>0</v>
      </c>
      <c r="C47" s="10">
        <f>IF(SUM($B$45:$B$48)=0,0,B47/SUM($B$45:$B$48))</f>
        <v>0</v>
      </c>
      <c r="D47" s="4" t="str">
        <f>IF(C47&lt;=Thresholds!$B$2,"Low",IF(C47&lt;=Thresholds!$C$2,"Medium","High"))</f>
        <v>Low</v>
      </c>
      <c r="E47" s="4"/>
      <c r="F47" s="4"/>
      <c r="G47" s="4"/>
    </row>
    <row r="48" spans="1:7" x14ac:dyDescent="0.25">
      <c r="A48" s="4" t="s">
        <v>919</v>
      </c>
      <c r="B48" s="4">
        <f>SUM(Responses!$AE$2:$AE$81)</f>
        <v>0</v>
      </c>
      <c r="C48" s="10">
        <f>IF(SUM($B$45:$B$48)=0,0,B48/SUM($B$45:$B$48))</f>
        <v>0</v>
      </c>
      <c r="D48" s="4" t="str">
        <f>IF(C48&lt;=Thresholds!$B$2,"Low",IF(C48&lt;=Thresholds!$C$2,"Medium","High"))</f>
        <v>Low</v>
      </c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9" t="s">
        <v>215</v>
      </c>
      <c r="B51" s="4"/>
      <c r="C51" s="4"/>
      <c r="D51" s="4"/>
      <c r="E51" s="4"/>
      <c r="F51" s="4"/>
      <c r="G51" s="4"/>
    </row>
    <row r="52" spans="1:7" x14ac:dyDescent="0.25">
      <c r="A52" s="4" t="s">
        <v>920</v>
      </c>
      <c r="B52" s="4">
        <f>SUM(Responses!$AF$2:$AF$81)</f>
        <v>0</v>
      </c>
      <c r="C52" s="10">
        <f>IF(SUM($B$52:$B$55)=0,0,B52/SUM($B$52:$B$55))</f>
        <v>0</v>
      </c>
      <c r="D52" s="4" t="str">
        <f>IF(C52&lt;=Thresholds!$B$2,"Low",IF(C52&lt;=Thresholds!$C$2,"Medium","High"))</f>
        <v>Low</v>
      </c>
      <c r="E52" s="4"/>
      <c r="F52" s="4"/>
      <c r="G52" s="4"/>
    </row>
    <row r="53" spans="1:7" x14ac:dyDescent="0.25">
      <c r="A53" s="4" t="s">
        <v>921</v>
      </c>
      <c r="B53" s="4">
        <f>SUM(Responses!$AG$2:$AG$81)</f>
        <v>0</v>
      </c>
      <c r="C53" s="10">
        <f>IF(SUM($B$52:$B$55)=0,0,B53/SUM($B$52:$B$55))</f>
        <v>0</v>
      </c>
      <c r="D53" s="4" t="str">
        <f>IF(C53&lt;=Thresholds!$B$2,"Low",IF(C53&lt;=Thresholds!$C$2,"Medium","High"))</f>
        <v>Low</v>
      </c>
      <c r="E53" s="4"/>
      <c r="F53" s="4"/>
      <c r="G53" s="4"/>
    </row>
    <row r="54" spans="1:7" x14ac:dyDescent="0.25">
      <c r="A54" s="4" t="s">
        <v>922</v>
      </c>
      <c r="B54" s="4">
        <f>SUM(Responses!$AH$2:$AH$81)</f>
        <v>0</v>
      </c>
      <c r="C54" s="10">
        <f>IF(SUM($B$52:$B$55)=0,0,B54/SUM($B$52:$B$55))</f>
        <v>0</v>
      </c>
      <c r="D54" s="4" t="str">
        <f>IF(C54&lt;=Thresholds!$B$2,"Low",IF(C54&lt;=Thresholds!$C$2,"Medium","High"))</f>
        <v>Low</v>
      </c>
      <c r="E54" s="4"/>
      <c r="F54" s="4"/>
      <c r="G54" s="4"/>
    </row>
    <row r="55" spans="1:7" x14ac:dyDescent="0.25">
      <c r="A55" s="4" t="s">
        <v>923</v>
      </c>
      <c r="B55" s="4">
        <f>SUM(Responses!$AI$2:$AI$81)</f>
        <v>0</v>
      </c>
      <c r="C55" s="10">
        <f>IF(SUM($B$52:$B$55)=0,0,B55/SUM($B$52:$B$55))</f>
        <v>0</v>
      </c>
      <c r="D55" s="4" t="str">
        <f>IF(C55&lt;=Thresholds!$B$2,"Low",IF(C55&lt;=Thresholds!$C$2,"Medium","High"))</f>
        <v>Low</v>
      </c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9" t="s">
        <v>286</v>
      </c>
      <c r="B58" s="4"/>
      <c r="C58" s="4"/>
      <c r="D58" s="4"/>
      <c r="E58" s="4"/>
      <c r="F58" s="4"/>
      <c r="G58" s="4"/>
    </row>
    <row r="59" spans="1:7" x14ac:dyDescent="0.25">
      <c r="A59" s="4" t="s">
        <v>924</v>
      </c>
      <c r="B59" s="4">
        <f>SUM(Responses!$AJ$2:$AJ$81)</f>
        <v>0</v>
      </c>
      <c r="C59" s="10">
        <f>IF(SUM($B$59:$B$62)=0,0,B59/SUM($B$59:$B$62))</f>
        <v>0</v>
      </c>
      <c r="D59" s="4" t="str">
        <f>IF(C59&lt;=Thresholds!$B$2,"Low",IF(C59&lt;=Thresholds!$C$2,"Medium","High"))</f>
        <v>Low</v>
      </c>
      <c r="E59" s="4"/>
      <c r="F59" s="4"/>
      <c r="G59" s="4"/>
    </row>
    <row r="60" spans="1:7" x14ac:dyDescent="0.25">
      <c r="A60" s="4" t="s">
        <v>925</v>
      </c>
      <c r="B60" s="4">
        <f>SUM(Responses!$AK$2:$AK$81)</f>
        <v>0</v>
      </c>
      <c r="C60" s="10">
        <f>IF(SUM($B$59:$B$62)=0,0,B60/SUM($B$59:$B$62))</f>
        <v>0</v>
      </c>
      <c r="D60" s="4" t="str">
        <f>IF(C60&lt;=Thresholds!$B$2,"Low",IF(C60&lt;=Thresholds!$C$2,"Medium","High"))</f>
        <v>Low</v>
      </c>
      <c r="E60" s="4"/>
      <c r="F60" s="4"/>
      <c r="G60" s="4"/>
    </row>
    <row r="61" spans="1:7" x14ac:dyDescent="0.25">
      <c r="A61" s="4" t="s">
        <v>926</v>
      </c>
      <c r="B61" s="4">
        <f>SUM(Responses!$AL$2:$AL$81)</f>
        <v>0</v>
      </c>
      <c r="C61" s="10">
        <f>IF(SUM($B$59:$B$62)=0,0,B61/SUM($B$59:$B$62))</f>
        <v>0</v>
      </c>
      <c r="D61" s="4" t="str">
        <f>IF(C61&lt;=Thresholds!$B$2,"Low",IF(C61&lt;=Thresholds!$C$2,"Medium","High"))</f>
        <v>Low</v>
      </c>
      <c r="E61" s="4"/>
      <c r="F61" s="4"/>
      <c r="G61" s="4"/>
    </row>
    <row r="62" spans="1:7" x14ac:dyDescent="0.25">
      <c r="A62" s="4" t="s">
        <v>927</v>
      </c>
      <c r="B62" s="4">
        <f>SUM(Responses!$AM$2:$AM$81)</f>
        <v>0</v>
      </c>
      <c r="C62" s="10">
        <f>IF(SUM($B$59:$B$62)=0,0,B62/SUM($B$59:$B$62))</f>
        <v>0</v>
      </c>
      <c r="D62" s="4" t="str">
        <f>IF(C62&lt;=Thresholds!$B$2,"Low",IF(C62&lt;=Thresholds!$C$2,"Medium","High"))</f>
        <v>Low</v>
      </c>
      <c r="E62" s="4"/>
      <c r="F62" s="4"/>
      <c r="G62" s="4"/>
    </row>
  </sheetData>
  <conditionalFormatting sqref="B9:B6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9:C6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5" x14ac:dyDescent="0.25"/>
  <cols>
    <col min="1" max="1" width="24" customWidth="1"/>
    <col min="2" max="2" width="120" customWidth="1"/>
  </cols>
  <sheetData>
    <row r="1" spans="1:2" ht="18.75" x14ac:dyDescent="0.3">
      <c r="A1" s="1" t="s">
        <v>928</v>
      </c>
    </row>
    <row r="2" spans="1:2" x14ac:dyDescent="0.25">
      <c r="A2" s="9" t="s">
        <v>420</v>
      </c>
      <c r="B2" s="4" t="str">
        <f>Results!G10</f>
        <v>Review mapping</v>
      </c>
    </row>
    <row r="3" spans="1:2" x14ac:dyDescent="0.25">
      <c r="A3" s="9" t="s">
        <v>455</v>
      </c>
      <c r="B3" s="4" t="str">
        <f>IFERROR(INDEX(Archetypes!$D$2:$D$13,MATCH(B2,Archetypes!$C$2:$C$13,0)),"Review archetype mapping.")</f>
        <v>Review archetype mapping.</v>
      </c>
    </row>
    <row r="4" spans="1:2" x14ac:dyDescent="0.25">
      <c r="A4" s="9" t="s">
        <v>461</v>
      </c>
      <c r="B4" s="4" t="e">
        <f ca="1">_xludf.TEXTJOIN(" ",TRUE,IF(Results!$D$16="High",INDEX('Sentence Library'!$D$2:$D$26,MATCH("How You Operate|Achievement|High",'Sentence Library'!$E$2:$E$26,0)),""),IF(Results!$D$17="High",INDEX('Sentence Library'!$D$2:$D$26,MATCH("How You Operate|Influence|High",'Sentence Library'!$E$2:$E$26,0)),""),IF(Results!$D$18="High",INDEX('Sentence Library'!$D$2:$D$26,MATCH("How You Operate|Stability|High",'Sentence Library'!$E$2:$E$26,0)),""),IF(Results!$D$19="High",INDEX('Sentence Library'!$D$2:$D$26,MATCH("How You Operate|Mastery|High",'Sentence Library'!$E$2:$E$26,0)),""))</f>
        <v>#NAME?</v>
      </c>
    </row>
    <row r="5" spans="1:2" x14ac:dyDescent="0.25">
      <c r="A5" s="9" t="s">
        <v>929</v>
      </c>
      <c r="B5" s="4" t="e">
        <f ca="1">_xludf.TEXTJOIN(" ",TRUE,IF(Results!$D$23="High",INDEX('Sentence Library'!$D$2:$D$26,MATCH("Leadership|Results|High",'Sentence Library'!$E$2:$E$26,0)),""),IF(Results!$D$24="High",INDEX('Sentence Library'!$D$2:$D$26,MATCH("Leadership|Vision|High",'Sentence Library'!$E$2:$E$26,0)),""),IF(Results!$D$25="High",INDEX('Sentence Library'!$D$2:$D$26,MATCH("Leadership|People|High",'Sentence Library'!$E$2:$E$26,0)),""),IF(Results!$D$26="High",INDEX('Sentence Library'!$D$2:$D$26,MATCH("Leadership|Process|High",'Sentence Library'!$E$2:$E$26,0)),""))</f>
        <v>#NAME?</v>
      </c>
    </row>
    <row r="6" spans="1:2" x14ac:dyDescent="0.25">
      <c r="A6" s="9" t="s">
        <v>157</v>
      </c>
      <c r="B6" s="4" t="e">
        <f ca="1">_xludf.TEXTJOIN(" ",TRUE,IF(Results!$D$30="High",INDEX('Sentence Library'!$D$2:$D$26,MATCH("Conflict|Compete|High",'Sentence Library'!$E$2:$E$26,0)),""),IF(Results!$D$31="High",INDEX('Sentence Library'!$D$2:$D$26,MATCH("Conflict|Collaborate|High",'Sentence Library'!$E$2:$E$26,0)),""),IF(Results!$D$32="High",INDEX('Sentence Library'!$D$2:$D$26,MATCH("Conflict|Compromise|High",'Sentence Library'!$E$2:$E$26,0)),""),IF(Results!$D$33="High",INDEX('Sentence Library'!$D$2:$D$26,MATCH("Conflict|Accommodate|High",'Sentence Library'!$E$2:$E$26,0)),""),IF(Results!$D$34="High",INDEX('Sentence Library'!$D$2:$D$26,MATCH("Conflict|Avoid|High",'Sentence Library'!$E$2:$E$26,0)),""))</f>
        <v>#NAME?</v>
      </c>
    </row>
    <row r="7" spans="1:2" x14ac:dyDescent="0.25">
      <c r="A7" s="9" t="s">
        <v>930</v>
      </c>
      <c r="B7" s="4" t="e">
        <f ca="1">_xludf.TEXTJOIN(" ",TRUE,IF(Results!$D$45="High",INDEX('Sentence Library'!$D$2:$D$26,MATCH("Pressure|Control|High",'Sentence Library'!$E$2:$E$26,0)),""),IF(Results!$D$46="High",INDEX('Sentence Library'!$D$2:$D$26,MATCH("Pressure|Scatter|High",'Sentence Library'!$E$2:$E$26,0)),""),IF(Results!$D$47="High",INDEX('Sentence Library'!$D$2:$D$26,MATCH("Pressure|Avoidance|High",'Sentence Library'!$E$2:$E$26,0)),""),IF(Results!$D$48="High",INDEX('Sentence Library'!$D$2:$D$26,MATCH("Pressure|Criticality|High",'Sentence Library'!$E$2:$E$26,0)),""))</f>
        <v>#NAME?</v>
      </c>
    </row>
    <row r="8" spans="1:2" x14ac:dyDescent="0.25">
      <c r="A8" s="9" t="s">
        <v>931</v>
      </c>
      <c r="B8" s="4" t="e">
        <f ca="1">_xludf.TEXTJOIN(" ",TRUE,IF(Results!$D$38="High",INDEX('Sentence Library'!$D$2:$D$26,MATCH("Culture|Market|High",'Sentence Library'!$E$2:$E$26,0)),""),IF(Results!$D$39="High",INDEX('Sentence Library'!$D$2:$D$26,MATCH("Culture|Adhocracy|High",'Sentence Library'!$E$2:$E$26,0)),""),IF(Results!$D$40="High",INDEX('Sentence Library'!$D$2:$D$26,MATCH("Culture|Clan|High",'Sentence Library'!$E$2:$E$26,0)),""),IF(Results!$D$41="High",INDEX('Sentence Library'!$D$2:$D$26,MATCH("Culture|Hierarchy|High",'Sentence Library'!$E$2:$E$26,0)),""))</f>
        <v>#NAME?</v>
      </c>
    </row>
    <row r="9" spans="1:2" x14ac:dyDescent="0.25">
      <c r="A9" s="9" t="s">
        <v>895</v>
      </c>
      <c r="B9" s="4" t="str">
        <f>Results!G16</f>
        <v>Decision Agility</v>
      </c>
    </row>
    <row r="10" spans="1:2" x14ac:dyDescent="0.25">
      <c r="A10" s="9" t="s">
        <v>897</v>
      </c>
      <c r="B10" s="4" t="str">
        <f>Results!G17</f>
        <v>Commercial Leadership</v>
      </c>
    </row>
    <row r="11" spans="1:2" ht="30" x14ac:dyDescent="0.25">
      <c r="A11" s="9" t="s">
        <v>899</v>
      </c>
      <c r="B11" s="4">
        <f>Results!G18</f>
        <v>0</v>
      </c>
    </row>
    <row r="12" spans="1:2" x14ac:dyDescent="0.25">
      <c r="A12" s="9" t="s">
        <v>901</v>
      </c>
      <c r="B12" s="4">
        <f>Results!G19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Questions</vt:lpstr>
      <vt:lpstr>Thresholds</vt:lpstr>
      <vt:lpstr>Archetypes</vt:lpstr>
      <vt:lpstr>Sentence Library</vt:lpstr>
      <vt:lpstr>Rule Engine</vt:lpstr>
      <vt:lpstr>Weights</vt:lpstr>
      <vt:lpstr>Responses</vt:lpstr>
      <vt:lpstr>Results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Dunn</cp:lastModifiedBy>
  <dcterms:modified xsi:type="dcterms:W3CDTF">2026-03-26T09:50:11Z</dcterms:modified>
</cp:coreProperties>
</file>